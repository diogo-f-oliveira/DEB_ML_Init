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bas.xps\Documents\deb\entries_prep\Culex_pipiens\"/>
    </mc:Choice>
  </mc:AlternateContent>
  <xr:revisionPtr revIDLastSave="0" documentId="8_{7061F95A-7120-42C7-9046-B00D7CE6A5CA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zero-variate data" sheetId="2" r:id="rId1"/>
    <sheet name="uni-variate data" sheetId="1" r:id="rId2"/>
    <sheet name="discussion points" sheetId="5" r:id="rId3"/>
    <sheet name="bibkeys" sheetId="3" r:id="rId4"/>
    <sheet name="syntax_variabl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4" i="2" l="1"/>
  <c r="B133" i="2"/>
  <c r="B132" i="2"/>
  <c r="B131" i="2"/>
  <c r="B130" i="2"/>
  <c r="B129" i="2"/>
  <c r="B128" i="2"/>
  <c r="B127" i="2"/>
  <c r="B118" i="2"/>
  <c r="B117" i="2"/>
  <c r="B116" i="2"/>
  <c r="B115" i="2"/>
  <c r="B114" i="2"/>
  <c r="B113" i="2"/>
  <c r="B112" i="2"/>
  <c r="B111" i="2"/>
  <c r="B99" i="2"/>
  <c r="B98" i="2"/>
  <c r="B97" i="2"/>
  <c r="B96" i="2"/>
  <c r="B95" i="2"/>
  <c r="B94" i="2"/>
  <c r="B93" i="2"/>
  <c r="B92" i="2"/>
  <c r="B80" i="2"/>
  <c r="B79" i="2"/>
  <c r="B78" i="2"/>
  <c r="B77" i="2"/>
  <c r="B76" i="2"/>
  <c r="B75" i="2"/>
  <c r="B74" i="2"/>
  <c r="B73" i="2"/>
  <c r="B54" i="2"/>
  <c r="B55" i="2"/>
  <c r="B56" i="2"/>
  <c r="B57" i="2"/>
  <c r="B58" i="2"/>
  <c r="B59" i="2"/>
  <c r="B60" i="2"/>
  <c r="B61" i="2"/>
  <c r="B22" i="2"/>
  <c r="B21" i="2"/>
  <c r="B20" i="2"/>
  <c r="B19" i="2"/>
  <c r="B18" i="2"/>
  <c r="B17" i="2"/>
  <c r="B16" i="2"/>
  <c r="B15" i="2"/>
  <c r="B14" i="2"/>
  <c r="B13" i="2"/>
  <c r="B210" i="2"/>
  <c r="B209" i="2"/>
  <c r="B208" i="2"/>
  <c r="C8" i="1"/>
  <c r="C7" i="1"/>
  <c r="C6" i="1"/>
  <c r="C5" i="1"/>
  <c r="C3" i="1"/>
  <c r="C2" i="1"/>
  <c r="B8" i="1"/>
  <c r="B7" i="1"/>
  <c r="B6" i="1"/>
  <c r="B5" i="1"/>
  <c r="B3" i="1"/>
  <c r="B2" i="1"/>
</calcChain>
</file>

<file path=xl/sharedStrings.xml><?xml version="1.0" encoding="utf-8"?>
<sst xmlns="http://schemas.openxmlformats.org/spreadsheetml/2006/main" count="1978" uniqueCount="403">
  <si>
    <t>ID</t>
  </si>
  <si>
    <t>parameter</t>
  </si>
  <si>
    <t>value</t>
  </si>
  <si>
    <t>notes</t>
  </si>
  <si>
    <t>year</t>
  </si>
  <si>
    <t>A Comparison of Food Reserves in Autogenous and Anautogenous Culex Pipiens Populations</t>
  </si>
  <si>
    <t>taxonomy</t>
  </si>
  <si>
    <t>Impact of temperature and nutrition on the toxicity of the insecticide λ-cyhalothrin in full-lifecycle tests with the target mosquito species Aedes albopictus and Culex pipiens</t>
  </si>
  <si>
    <t>Cx. pipiens f. molestus</t>
  </si>
  <si>
    <t>Cx. pipiens</t>
  </si>
  <si>
    <t>Temperature and genotypic effects on life history and fluctuating asymmetry in a field strain of Culex pipiens</t>
  </si>
  <si>
    <t>Interaction of a pesticide and larval competition on life history traits of Culex pipiens</t>
  </si>
  <si>
    <t>Predation risk perception and food scarcity induce alterations of life-cycle traits of the mosquito Culex pipiens</t>
  </si>
  <si>
    <t>Geographic variation in the response of Culex pipiens life history traits to temperature</t>
  </si>
  <si>
    <t>sex</t>
  </si>
  <si>
    <t>f</t>
  </si>
  <si>
    <t>label</t>
  </si>
  <si>
    <t>bibkey</t>
  </si>
  <si>
    <t>ab</t>
  </si>
  <si>
    <t>d</t>
  </si>
  <si>
    <t>tj</t>
  </si>
  <si>
    <t>te</t>
  </si>
  <si>
    <t>am</t>
  </si>
  <si>
    <t>temperature (in Celsius)</t>
  </si>
  <si>
    <t>t1</t>
  </si>
  <si>
    <t>t2</t>
  </si>
  <si>
    <t>t3</t>
  </si>
  <si>
    <t>t4</t>
  </si>
  <si>
    <t>unit</t>
  </si>
  <si>
    <t>Ww0</t>
  </si>
  <si>
    <t>mg</t>
  </si>
  <si>
    <t>Wwj</t>
  </si>
  <si>
    <t>Wwe</t>
  </si>
  <si>
    <t>Ri</t>
  </si>
  <si>
    <t>#/d</t>
  </si>
  <si>
    <t>L1</t>
  </si>
  <si>
    <t>L2</t>
  </si>
  <si>
    <t>L3</t>
  </si>
  <si>
    <t>L4</t>
  </si>
  <si>
    <t>mm</t>
  </si>
  <si>
    <t>E0</t>
  </si>
  <si>
    <t>Mpho2002</t>
  </si>
  <si>
    <t>Development time, measured as the mean number of days from egg hatch to adult eclosion</t>
  </si>
  <si>
    <t>time since birth at emergence</t>
  </si>
  <si>
    <t>question</t>
  </si>
  <si>
    <t>f/m</t>
  </si>
  <si>
    <t>title</t>
  </si>
  <si>
    <t>uni-variate data</t>
  </si>
  <si>
    <t>Mpho, M.; Callaghan, A.; and Holloway, GJ.</t>
  </si>
  <si>
    <t>DOI</t>
  </si>
  <si>
    <t>10.1038/sj.hdy.6800045</t>
  </si>
  <si>
    <t>author(s)</t>
  </si>
  <si>
    <t>Twohy, D. W.; and Rozeboom, L. E.</t>
  </si>
  <si>
    <t>Mutu2010</t>
  </si>
  <si>
    <t>10.1016/j.actatropica.2010.07.003</t>
  </si>
  <si>
    <t>Muturi, E. J.; Costanzo, K.; Kesavaraju, B.; Lampman, R.; Alto, B. W.</t>
  </si>
  <si>
    <t>dry weight of pupa</t>
  </si>
  <si>
    <t>dry weight of imago</t>
  </si>
  <si>
    <t>zero-variate data</t>
  </si>
  <si>
    <t>time since pupation</t>
  </si>
  <si>
    <t>tWde</t>
  </si>
  <si>
    <t>tWdj</t>
  </si>
  <si>
    <t>model parameter</t>
  </si>
  <si>
    <t>not dist.</t>
  </si>
  <si>
    <t>Kres2014</t>
  </si>
  <si>
    <t>Kress, A.;  Kuch, U.; Oehlmann, J.; Mueller, R.</t>
  </si>
  <si>
    <t>10.1007/s10340-014-0620-4</t>
  </si>
  <si>
    <t>comment</t>
  </si>
  <si>
    <t>name</t>
  </si>
  <si>
    <t>ah</t>
  </si>
  <si>
    <t xml:space="preserve"> age at hatch</t>
  </si>
  <si>
    <t xml:space="preserve"> age at birth</t>
  </si>
  <si>
    <t>tx</t>
  </si>
  <si>
    <t xml:space="preserve"> time since birth at weaning</t>
  </si>
  <si>
    <t xml:space="preserve"> time since birth at 1st instar</t>
  </si>
  <si>
    <t xml:space="preserve"> time since 1st instar at 2nd instar</t>
  </si>
  <si>
    <t xml:space="preserve"> time since 2nd instar at 3rd instar</t>
  </si>
  <si>
    <t xml:space="preserve"> time since 3rd instar at 4th instar</t>
  </si>
  <si>
    <t>t5</t>
  </si>
  <si>
    <t xml:space="preserve"> time since 4th instar at 5th instar</t>
  </si>
  <si>
    <t>t6</t>
  </si>
  <si>
    <t xml:space="preserve"> time since 5th instar at 6th instar</t>
  </si>
  <si>
    <t xml:space="preserve"> time since birth at end acceleration</t>
  </si>
  <si>
    <t>tp</t>
  </si>
  <si>
    <t xml:space="preserve"> time since birth at puberty</t>
  </si>
  <si>
    <t>tpm</t>
  </si>
  <si>
    <t xml:space="preserve"> time since birth at puberty for males</t>
  </si>
  <si>
    <t>tR</t>
  </si>
  <si>
    <t xml:space="preserve"> time since birth at first egg production</t>
  </si>
  <si>
    <t xml:space="preserve"> time since pupation at emergence</t>
  </si>
  <si>
    <t xml:space="preserve"> life span</t>
  </si>
  <si>
    <t>Lh</t>
  </si>
  <si>
    <t xml:space="preserve"> length at hatch</t>
  </si>
  <si>
    <t>Lb</t>
  </si>
  <si>
    <t xml:space="preserve"> length at birth</t>
  </si>
  <si>
    <t xml:space="preserve"> length at 1st instar after birth</t>
  </si>
  <si>
    <t xml:space="preserve"> length at 2nd instar</t>
  </si>
  <si>
    <t xml:space="preserve"> length at 3rd instar</t>
  </si>
  <si>
    <t xml:space="preserve"> length at 4th instar</t>
  </si>
  <si>
    <t>L5</t>
  </si>
  <si>
    <t xml:space="preserve"> length at 5th instar</t>
  </si>
  <si>
    <t>L6</t>
  </si>
  <si>
    <t xml:space="preserve"> length at 6th instar</t>
  </si>
  <si>
    <t>Lj</t>
  </si>
  <si>
    <t xml:space="preserve"> length at end acceleration</t>
  </si>
  <si>
    <t>Lp</t>
  </si>
  <si>
    <t xml:space="preserve"> length at puberty</t>
  </si>
  <si>
    <t>Lpm</t>
  </si>
  <si>
    <t xml:space="preserve"> length at puberty for males</t>
  </si>
  <si>
    <t>Li</t>
  </si>
  <si>
    <t xml:space="preserve"> ultimate length</t>
  </si>
  <si>
    <t>Lim</t>
  </si>
  <si>
    <t xml:space="preserve"> ultimate length for males</t>
  </si>
  <si>
    <t>Le</t>
  </si>
  <si>
    <t xml:space="preserve"> length of imago</t>
  </si>
  <si>
    <t xml:space="preserve"> initial wet weight</t>
  </si>
  <si>
    <t>Wwh</t>
  </si>
  <si>
    <t xml:space="preserve"> wet weight at hatch</t>
  </si>
  <si>
    <t>Wwb</t>
  </si>
  <si>
    <t xml:space="preserve"> wet weight at birth</t>
  </si>
  <si>
    <t>Ww1</t>
  </si>
  <si>
    <t xml:space="preserve"> wet weight at 1st instar after birth</t>
  </si>
  <si>
    <t>Ww2</t>
  </si>
  <si>
    <t xml:space="preserve"> wet weight at 2nd instar</t>
  </si>
  <si>
    <t>Ww3</t>
  </si>
  <si>
    <t xml:space="preserve"> wet weight at 3rd instar</t>
  </si>
  <si>
    <t>Ww4</t>
  </si>
  <si>
    <t xml:space="preserve"> wet weight at 4th instar</t>
  </si>
  <si>
    <t>Ww5</t>
  </si>
  <si>
    <t xml:space="preserve"> wet weight at 5th instar</t>
  </si>
  <si>
    <t>Ww6</t>
  </si>
  <si>
    <t xml:space="preserve"> wet weight at 6th instar</t>
  </si>
  <si>
    <t xml:space="preserve"> wet weight at end acceleration</t>
  </si>
  <si>
    <t>Wwp</t>
  </si>
  <si>
    <t xml:space="preserve"> wet weight at puberty</t>
  </si>
  <si>
    <t>Wwpm</t>
  </si>
  <si>
    <t xml:space="preserve"> wet weight at puberty for males</t>
  </si>
  <si>
    <t>Wwi</t>
  </si>
  <si>
    <t xml:space="preserve"> ultimate wet weight</t>
  </si>
  <si>
    <t>Wwim</t>
  </si>
  <si>
    <t xml:space="preserve"> ultimate wet weight for males</t>
  </si>
  <si>
    <t xml:space="preserve"> wet weight of imago</t>
  </si>
  <si>
    <t>Wdh</t>
  </si>
  <si>
    <t xml:space="preserve"> dry weight at hatch</t>
  </si>
  <si>
    <t>Wdb</t>
  </si>
  <si>
    <t xml:space="preserve"> dry weight at birth</t>
  </si>
  <si>
    <t>Wd1</t>
  </si>
  <si>
    <t xml:space="preserve"> dry weight at 1st instar after birth</t>
  </si>
  <si>
    <t>Wd2</t>
  </si>
  <si>
    <t xml:space="preserve"> dry weight at 2nd instar</t>
  </si>
  <si>
    <t>Wd3</t>
  </si>
  <si>
    <t xml:space="preserve"> dry weight at 3rd instar</t>
  </si>
  <si>
    <t>Wd4</t>
  </si>
  <si>
    <t xml:space="preserve"> dry weight at 4th instar</t>
  </si>
  <si>
    <t>Wd5</t>
  </si>
  <si>
    <t xml:space="preserve"> dry weight at 5th instar</t>
  </si>
  <si>
    <t>Wd6</t>
  </si>
  <si>
    <t xml:space="preserve"> dry weight at 6th instar</t>
  </si>
  <si>
    <t>Wdj</t>
  </si>
  <si>
    <t xml:space="preserve"> dry weight at end acceleration</t>
  </si>
  <si>
    <t>Wdp</t>
  </si>
  <si>
    <t xml:space="preserve"> dry weight at puberty</t>
  </si>
  <si>
    <t>Wdpm</t>
  </si>
  <si>
    <t xml:space="preserve"> dry weight at puberty for males</t>
  </si>
  <si>
    <t>Wdi</t>
  </si>
  <si>
    <t xml:space="preserve"> ultimate dry weight</t>
  </si>
  <si>
    <t>Wdim</t>
  </si>
  <si>
    <t xml:space="preserve"> ultimate dry weight for males</t>
  </si>
  <si>
    <t>Wde</t>
  </si>
  <si>
    <t xml:space="preserve"> dry weight of imago</t>
  </si>
  <si>
    <t xml:space="preserve"> initial energy content</t>
  </si>
  <si>
    <t xml:space="preserve"> ultimate reproduction rate</t>
  </si>
  <si>
    <t xml:space="preserve">name </t>
  </si>
  <si>
    <t>LWw</t>
  </si>
  <si>
    <t>LWw_f</t>
  </si>
  <si>
    <t>LWw_m</t>
  </si>
  <si>
    <t>LWd</t>
  </si>
  <si>
    <t>LWd_f</t>
  </si>
  <si>
    <t>LWd_m</t>
  </si>
  <si>
    <t>tL</t>
  </si>
  <si>
    <t>tL_f</t>
  </si>
  <si>
    <t>tL_m</t>
  </si>
  <si>
    <t>tWw</t>
  </si>
  <si>
    <t>tWw_m</t>
  </si>
  <si>
    <t>tWw_f</t>
  </si>
  <si>
    <t>tWd</t>
  </si>
  <si>
    <t>tWd_f</t>
  </si>
  <si>
    <t>tWd_m</t>
  </si>
  <si>
    <t>LdL</t>
  </si>
  <si>
    <t>LdL_f</t>
  </si>
  <si>
    <t>LdL_m</t>
  </si>
  <si>
    <t>LN</t>
  </si>
  <si>
    <t>WwN</t>
  </si>
  <si>
    <t>WdN</t>
  </si>
  <si>
    <t>LR</t>
  </si>
  <si>
    <t>WwR</t>
  </si>
  <si>
    <t>WdR</t>
  </si>
  <si>
    <t>LJO</t>
  </si>
  <si>
    <t>WwJO</t>
  </si>
  <si>
    <t>WdJO</t>
  </si>
  <si>
    <t>cm</t>
  </si>
  <si>
    <t>g</t>
  </si>
  <si>
    <t>J</t>
  </si>
  <si>
    <t xml:space="preserve"> length</t>
  </si>
  <si>
    <t>wet weight</t>
  </si>
  <si>
    <t>dry weight</t>
  </si>
  <si>
    <t xml:space="preserve"> time</t>
  </si>
  <si>
    <t>length</t>
  </si>
  <si>
    <t>change in length</t>
  </si>
  <si>
    <t>yearly fecundity</t>
  </si>
  <si>
    <t xml:space="preserve"> wet weight</t>
  </si>
  <si>
    <t xml:space="preserve"> dry weight</t>
  </si>
  <si>
    <t>reproduction rate</t>
  </si>
  <si>
    <t>O2 consumption</t>
  </si>
  <si>
    <t>x-label</t>
  </si>
  <si>
    <t>y-label</t>
  </si>
  <si>
    <t>x-unit</t>
  </si>
  <si>
    <t>y-unit</t>
  </si>
  <si>
    <t>cm/d</t>
  </si>
  <si>
    <t>#</t>
  </si>
  <si>
    <t>mol/d</t>
  </si>
  <si>
    <t>Development time, measured as the mean number of days from egg hatch to adult eclosion (= emegence)</t>
  </si>
  <si>
    <t>Ruyb2016</t>
  </si>
  <si>
    <t>Ruybal, J. E.; Kramer, L. D. and Kilpatrick, A. M.</t>
  </si>
  <si>
    <t>10.1186/s13071-016-1402-z</t>
  </si>
  <si>
    <t>http://www.debtheory.org/wiki/index.php?title=Univariate_data</t>
  </si>
  <si>
    <t>http://www.debtheory.org/wiki/index.php?title=Zero-variate_data</t>
  </si>
  <si>
    <t>Figure 2, line 1</t>
  </si>
  <si>
    <t>Figure 2, line 2</t>
  </si>
  <si>
    <t>Figure 2, line 3</t>
  </si>
  <si>
    <t>Figure 2, line 4</t>
  </si>
  <si>
    <t>x-value</t>
  </si>
  <si>
    <t>y-value</t>
  </si>
  <si>
    <t>?</t>
  </si>
  <si>
    <t>BekeLies2007</t>
  </si>
  <si>
    <t>Beketov, M. A.; Liess, M.</t>
  </si>
  <si>
    <t>10.1111/j.1365-2311.2007.00889.x</t>
  </si>
  <si>
    <t>high food condition (f = 1)</t>
  </si>
  <si>
    <t>low food condition (f = 1*0.5)</t>
  </si>
  <si>
    <t>no. of eggs per female</t>
  </si>
  <si>
    <t>no. of eggs per eggfloat</t>
  </si>
  <si>
    <t>no. of eggfloats per female</t>
  </si>
  <si>
    <t>no. of larva per female</t>
  </si>
  <si>
    <t>calculated by: no. of eggs per female = no. of eggfloats per female*no. of eggs per eggfloat</t>
  </si>
  <si>
    <t>uni-variate data, no temperature</t>
  </si>
  <si>
    <t>uni-variate data, zero- variate data?</t>
  </si>
  <si>
    <t>I am not sure if Xte is the correct parameter</t>
  </si>
  <si>
    <t>larval densities</t>
  </si>
  <si>
    <t>Xte_m</t>
  </si>
  <si>
    <t>XWde</t>
  </si>
  <si>
    <t>XWde_m</t>
  </si>
  <si>
    <t>wing length female imago</t>
  </si>
  <si>
    <t>wing length male imago</t>
  </si>
  <si>
    <t>dry weight of male imago</t>
  </si>
  <si>
    <t>development time from egg hatch to adult male emergence</t>
  </si>
  <si>
    <t>TwohRoze1957</t>
  </si>
  <si>
    <t>journal</t>
  </si>
  <si>
    <t>Heredity</t>
  </si>
  <si>
    <t>Ecological Entomology</t>
  </si>
  <si>
    <t>Am. J. Hyg</t>
  </si>
  <si>
    <t>Parasites &amp; Vectors</t>
  </si>
  <si>
    <t>Journal of Pest Science</t>
  </si>
  <si>
    <t>Acta Tropica</t>
  </si>
  <si>
    <t>307-312</t>
  </si>
  <si>
    <t>405-410</t>
  </si>
  <si>
    <t>316-324</t>
  </si>
  <si>
    <t>739-750</t>
  </si>
  <si>
    <t>141-146</t>
  </si>
  <si>
    <t>volume</t>
  </si>
  <si>
    <t>pages</t>
  </si>
  <si>
    <t>Jour2016</t>
  </si>
  <si>
    <t>Cx. pipiens molestus</t>
  </si>
  <si>
    <t xml:space="preserve">Jourdan, J., Baier, J., Riesch, R., Klimpel, S., Streit, B. , Mueller, R., Plath, M. </t>
  </si>
  <si>
    <t>Adaptive growth reduction in response to fish kairomones allows
mosquito larvae (Culex pipiens) to reduce predation risk</t>
  </si>
  <si>
    <t>Aquatic Sciences</t>
  </si>
  <si>
    <t>10.1007/s00027-015-0432-5</t>
  </si>
  <si>
    <t>303-314</t>
  </si>
  <si>
    <t>zero- and uni-variate data</t>
  </si>
  <si>
    <t>only control value used (no predation cues)</t>
  </si>
  <si>
    <t>time since birth at pupation</t>
  </si>
  <si>
    <t>dry weight of pupae</t>
  </si>
  <si>
    <t>abdominal length of pupae</t>
  </si>
  <si>
    <t>wing length imago</t>
  </si>
  <si>
    <t>fat content imago</t>
  </si>
  <si>
    <t>dry weight imago</t>
  </si>
  <si>
    <t>%</t>
  </si>
  <si>
    <t>from the third to the eighth segment, only control value used (no predation cues)</t>
  </si>
  <si>
    <t>larval age in days after hatching</t>
  </si>
  <si>
    <t>Chen1958</t>
  </si>
  <si>
    <t>Figure 1</t>
  </si>
  <si>
    <t>Table 1</t>
  </si>
  <si>
    <t>Table 2</t>
  </si>
  <si>
    <t>Chen, P. S.</t>
  </si>
  <si>
    <t>38-51</t>
  </si>
  <si>
    <t>Journal of Insect Physiology</t>
  </si>
  <si>
    <t>Studies on the protein metabolism of Culex pipiens L.—I: Metabolic changes of free amino acids during larval and pupal development</t>
  </si>
  <si>
    <t>10.1016/0022-1910(58)90026-X</t>
  </si>
  <si>
    <t>h</t>
  </si>
  <si>
    <t xml:space="preserve">mg </t>
  </si>
  <si>
    <t>pupal age in hours after pupation</t>
  </si>
  <si>
    <t>Table 4</t>
  </si>
  <si>
    <t>tWwj</t>
  </si>
  <si>
    <t>Harb1984</t>
  </si>
  <si>
    <t>Harbach, R. E.; Harrison, B. A.; Gad A. M.</t>
  </si>
  <si>
    <t>Culex (Culex) Molestus Forskål (Diptera: Culicidae): neotype designation, description, variation, and taxonomic status</t>
  </si>
  <si>
    <t>521-542</t>
  </si>
  <si>
    <t>Proceedings of the Entomological Society of Washington</t>
  </si>
  <si>
    <t>na</t>
  </si>
  <si>
    <t>150-300</t>
  </si>
  <si>
    <t>eggs per eggfloat (raft) per female</t>
  </si>
  <si>
    <t>for anautogenous females</t>
  </si>
  <si>
    <t>7-125</t>
  </si>
  <si>
    <t>no. of eggfloats (rafts) per female</t>
  </si>
  <si>
    <t>Kass2012</t>
  </si>
  <si>
    <t>no. of eggs per eggfloat (raft)</t>
  </si>
  <si>
    <t>for autogenous femalse (without blood meal), value with very large SE (±432)</t>
  </si>
  <si>
    <t>for autogenous femalse (without blood meal), value with very large SE (±357)</t>
  </si>
  <si>
    <t>for autogenous femalse (without blood meal), value with very large SE (±143)</t>
  </si>
  <si>
    <t>discussion point</t>
  </si>
  <si>
    <t>Beck2010</t>
  </si>
  <si>
    <t>book, knowledgebase</t>
  </si>
  <si>
    <t>Becker, N.; Petric, D.; Zgomba, M.; Boase, C.; ·Dahl, C.; Madon, M.;· Kaiser, A.</t>
  </si>
  <si>
    <t>Mosquitoes
and Their Control</t>
  </si>
  <si>
    <t>Mosquitos</t>
  </si>
  <si>
    <t>10.1007/978-3-540-92874-4</t>
  </si>
  <si>
    <t>Jobling, B.</t>
  </si>
  <si>
    <t>Jobl1938</t>
  </si>
  <si>
    <t>On Two Subspecies of Culex Pipiens L (diptera)</t>
  </si>
  <si>
    <t>Transactions of the Royal Entomological Society of London</t>
  </si>
  <si>
    <t>193-216</t>
  </si>
  <si>
    <t>10.1111/j.1365-2311.1938.tb00094.x</t>
  </si>
  <si>
    <t>BOOK: Springer Heidelberg Dordrecht London New York</t>
  </si>
  <si>
    <t>Table 7</t>
  </si>
  <si>
    <t>Table 3</t>
  </si>
  <si>
    <t>for autogenous females (without blood meal)</t>
  </si>
  <si>
    <t>Table 7, mean from first and last appearance</t>
  </si>
  <si>
    <t>Effect of Temperature on Biological Parameters of the West Nile Virus Vector Culex pipiens form ‘molestus’ (Diptera: Culicidae) in Greece: Constant vs Fluctuating Temperatures</t>
  </si>
  <si>
    <t>Australian Journal of Entomology</t>
  </si>
  <si>
    <t>Culex molestus Forskal (Diptera: Culicidae) in Australia: colonisation, stenogamy, autogeny, oviposition and larval development</t>
  </si>
  <si>
    <t>Spanoudis, C. G.; Andreadis, S. S; Tsaknis, N. K.; Petrou, A. P.; Gkeka, C. D.; Savopoulou–Soultani, M.</t>
  </si>
  <si>
    <t>641-650</t>
  </si>
  <si>
    <t>Journal of Medical Entomology</t>
  </si>
  <si>
    <t>10.1093/jme/tjy224</t>
  </si>
  <si>
    <t>10.1111/j.1440-6055.2011.00834.x</t>
  </si>
  <si>
    <t>Kassim, N. A. C.; Webb, C. E; Russell, R. C.</t>
  </si>
  <si>
    <t>67-77</t>
  </si>
  <si>
    <t>Span2019</t>
  </si>
  <si>
    <t>time since egg layed at larval instar 2</t>
  </si>
  <si>
    <t>time since egg layed at larval instar 3</t>
  </si>
  <si>
    <t>time since egg layed at larval instar 4</t>
  </si>
  <si>
    <t>time since egg layed at pupation</t>
  </si>
  <si>
    <t>time since egg layed at emergence (adult/Imago)</t>
  </si>
  <si>
    <t>Figure 4</t>
  </si>
  <si>
    <t>Table 3, autogenous females (without blood meal)</t>
  </si>
  <si>
    <t>am_m</t>
  </si>
  <si>
    <t>am_f</t>
  </si>
  <si>
    <t>The natural history of larval mosquito habitats</t>
  </si>
  <si>
    <t>Laird, M.</t>
  </si>
  <si>
    <t>Lair1988</t>
  </si>
  <si>
    <t>BOOK: Academic Press, London</t>
  </si>
  <si>
    <r>
      <rPr>
        <b/>
        <sz val="10"/>
        <color rgb="FF131413"/>
        <rFont val="Calibri"/>
        <family val="2"/>
        <scheme val="minor"/>
      </rPr>
      <t>Larval food</t>
    </r>
    <r>
      <rPr>
        <sz val="10"/>
        <color rgb="FF131413"/>
        <rFont val="Calibri"/>
        <family val="2"/>
        <scheme val="minor"/>
      </rPr>
      <t xml:space="preserve"> consists of a range of non-living and living resources as organic detritus, bacteria, unicellular algae, different protozoa, micro-metazoa and small filamentous algae</t>
    </r>
  </si>
  <si>
    <r>
      <t xml:space="preserve">Males usually emerge 1–2 days before the females in order to achieve </t>
    </r>
    <r>
      <rPr>
        <b/>
        <sz val="10"/>
        <color rgb="FF131413"/>
        <rFont val="Calibri"/>
        <family val="2"/>
        <scheme val="minor"/>
      </rPr>
      <t>sexual maturity</t>
    </r>
    <r>
      <rPr>
        <sz val="10"/>
        <color rgb="FF131413"/>
        <rFont val="Calibri"/>
        <family val="2"/>
        <scheme val="minor"/>
      </rPr>
      <t xml:space="preserve"> at the same time as the emerging females (which are mature at emergence). Since the pupal stage of the two sexes appears to be about the same length, the</t>
    </r>
    <r>
      <rPr>
        <b/>
        <sz val="10"/>
        <color rgb="FF131413"/>
        <rFont val="Calibri"/>
        <family val="2"/>
        <scheme val="minor"/>
      </rPr>
      <t xml:space="preserve"> shortening in development of males takes place primarily in the larval stage</t>
    </r>
    <r>
      <rPr>
        <sz val="10"/>
        <color rgb="FF131413"/>
        <rFont val="Calibri"/>
        <family val="2"/>
        <scheme val="minor"/>
      </rPr>
      <t>. Consequently, the male pupae and adults of a population are smaller in size than the corresponding females.</t>
    </r>
  </si>
  <si>
    <t>Culex pipiens Development Is Greatly
Influenced by Native Bacteria and Exogenous
Yeast</t>
  </si>
  <si>
    <t>PLOS ONE</t>
  </si>
  <si>
    <t>10.1371/journal.pone.0153133</t>
  </si>
  <si>
    <t xml:space="preserve">Díaz-Nieto, L. M.; D´Alessio, C.; Perotti, M. A.; Berón, C. M. </t>
  </si>
  <si>
    <t>Diaz2016</t>
  </si>
  <si>
    <t>Beck2010; Harb1984</t>
  </si>
  <si>
    <t>Lair1988; Diaz2016</t>
  </si>
  <si>
    <r>
      <rPr>
        <b/>
        <sz val="10"/>
        <color rgb="FF131413"/>
        <rFont val="Calibri"/>
        <family val="2"/>
        <scheme val="minor"/>
      </rPr>
      <t>Food as imago</t>
    </r>
    <r>
      <rPr>
        <sz val="10"/>
        <color rgb="FF131413"/>
        <rFont val="Calibri"/>
        <family val="2"/>
        <scheme val="minor"/>
      </rPr>
      <t xml:space="preserve">: Beck2010 -  </t>
    </r>
    <r>
      <rPr>
        <b/>
        <sz val="10"/>
        <color rgb="FF131413"/>
        <rFont val="Calibri"/>
        <family val="2"/>
        <scheme val="minor"/>
      </rPr>
      <t>Both sexes of mosquitoes require plant juices</t>
    </r>
    <r>
      <rPr>
        <sz val="10"/>
        <color rgb="FF131413"/>
        <rFont val="Calibri"/>
        <family val="2"/>
        <scheme val="minor"/>
      </rPr>
      <t xml:space="preserve"> as an energy source, mostly for flight. Plant sugars such as floral nectar, damaged fruits and honeydew are the main energy source during the adult life of both sexes. ... the </t>
    </r>
    <r>
      <rPr>
        <b/>
        <sz val="10"/>
        <color rgb="FF131413"/>
        <rFont val="Calibri"/>
        <family val="2"/>
        <scheme val="minor"/>
      </rPr>
      <t>female</t>
    </r>
    <r>
      <rPr>
        <sz val="10"/>
        <color rgb="FF131413"/>
        <rFont val="Calibri"/>
        <family val="2"/>
        <scheme val="minor"/>
      </rPr>
      <t xml:space="preserve"> mouthparts are developed to pierce the skin of the host to obtain </t>
    </r>
    <r>
      <rPr>
        <b/>
        <sz val="10"/>
        <color rgb="FF131413"/>
        <rFont val="Calibri"/>
        <family val="2"/>
        <scheme val="minor"/>
      </rPr>
      <t>blood for egg maturation</t>
    </r>
    <r>
      <rPr>
        <sz val="10"/>
        <color rgb="FF131413"/>
        <rFont val="Calibri"/>
        <family val="2"/>
        <scheme val="minor"/>
      </rPr>
      <t xml:space="preserve">; Habr1984 - Females fed aggressively on the arm of a </t>
    </r>
    <r>
      <rPr>
        <b/>
        <sz val="10"/>
        <color rgb="FF131413"/>
        <rFont val="Calibri"/>
        <family val="2"/>
        <scheme val="minor"/>
      </rPr>
      <t>human</t>
    </r>
    <r>
      <rPr>
        <sz val="10"/>
        <color rgb="FF131413"/>
        <rFont val="Calibri"/>
        <family val="2"/>
        <scheme val="minor"/>
      </rPr>
      <t xml:space="preserve"> following deposition of autogenous rafts.</t>
    </r>
  </si>
  <si>
    <t>TwohRoze1957, Harb1984</t>
  </si>
  <si>
    <r>
      <rPr>
        <b/>
        <sz val="10"/>
        <color rgb="FF131413"/>
        <rFont val="Calibri"/>
        <family val="2"/>
        <scheme val="minor"/>
      </rPr>
      <t>Reproduction</t>
    </r>
    <r>
      <rPr>
        <sz val="10"/>
        <color rgb="FF131413"/>
        <rFont val="Calibri"/>
        <family val="2"/>
        <scheme val="minor"/>
      </rPr>
      <t xml:space="preserve">: TwohRoze1957 - Females produce </t>
    </r>
    <r>
      <rPr>
        <b/>
        <sz val="10"/>
        <color rgb="FF131413"/>
        <rFont val="Calibri"/>
        <family val="2"/>
        <scheme val="minor"/>
      </rPr>
      <t>at least one egg-raft after emergence</t>
    </r>
    <r>
      <rPr>
        <sz val="10"/>
        <color rgb="FF131413"/>
        <rFont val="Calibri"/>
        <family val="2"/>
        <scheme val="minor"/>
      </rPr>
      <t xml:space="preserve">, for which they do not obligatory require a blood meal (TwohRoze1957); Harb1984 - most rafts laid </t>
    </r>
    <r>
      <rPr>
        <b/>
        <sz val="10"/>
        <color rgb="FF131413"/>
        <rFont val="Calibri"/>
        <family val="2"/>
        <scheme val="minor"/>
      </rPr>
      <t>three days after female emergence</t>
    </r>
    <r>
      <rPr>
        <sz val="10"/>
        <color rgb="FF131413"/>
        <rFont val="Calibri"/>
        <family val="2"/>
        <scheme val="minor"/>
      </rPr>
      <t xml:space="preserve"> but some up to two weeks after emergence </t>
    </r>
  </si>
  <si>
    <t>time since egg layed at birth (larval instar 1)</t>
  </si>
  <si>
    <t>lifespan as male imago/adult</t>
  </si>
  <si>
    <t>lifespan as female imago/adult</t>
  </si>
  <si>
    <t>adult female development rate (egg hatch to emergence)</t>
  </si>
  <si>
    <t xml:space="preserve">zero-variate data, hybridize with Culex quinquefasciatus , morphologically identified as Cx. Pipiens </t>
  </si>
  <si>
    <t xml:space="preserve">I am not sure if XWd is the correct parameter, unit? </t>
  </si>
  <si>
    <t>I am not sure if XWd is the correct parameter, unit?</t>
  </si>
  <si>
    <t>Still usable without knowing temperature?, unit?</t>
  </si>
  <si>
    <t>Still usable without knowing temperature? unit?</t>
  </si>
  <si>
    <t>wet weight of larva</t>
  </si>
  <si>
    <t xml:space="preserve">wet weight of larva </t>
  </si>
  <si>
    <t xml:space="preserve">wet weight of pupa </t>
  </si>
  <si>
    <t>OR is "t_he" the right parameter name because it is the time from life state h to e? (or b and e)?</t>
  </si>
  <si>
    <t>also available for different stress situation (chemical cues for predation) could this be used?</t>
  </si>
  <si>
    <t>nutrition level static (nutrition level had no significant impact)</t>
  </si>
  <si>
    <t>nutrition level dynamic (nutrition level had no significant impact)</t>
  </si>
  <si>
    <t>what parameter? unit?</t>
  </si>
  <si>
    <t>what paramerer?</t>
  </si>
  <si>
    <t>no temperature specified, can it still be used? What parameter?</t>
  </si>
  <si>
    <t>what parameter?  Unit?</t>
  </si>
  <si>
    <t>unit?</t>
  </si>
  <si>
    <t>unit? also available for different stress situation (chemical cues for predation) could this be used?</t>
  </si>
  <si>
    <t>unit? can low food condition value be used? also available for different stress situation (chemical cues for predation) could this be used?</t>
  </si>
  <si>
    <t>what parameter?</t>
  </si>
  <si>
    <t>Ri?</t>
  </si>
  <si>
    <t>Wdj?</t>
  </si>
  <si>
    <t>what parameter? also available for different stress situation (chemical cues for predation) could this be used?</t>
  </si>
  <si>
    <t>what parameter? can low food condition value be used? also available for different stress situation (chemical cues for predation) could this be used?</t>
  </si>
  <si>
    <t>Li_m</t>
  </si>
  <si>
    <t>Wde?</t>
  </si>
  <si>
    <t>te_m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</si>
</sst>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31413"/>
      <name val="Times-Roman"/>
    </font>
    <font>
      <sz val="10"/>
      <color rgb="FF131413"/>
      <name val="Calibri"/>
      <family val="2"/>
      <scheme val="minor"/>
    </font>
    <font>
      <b/>
      <sz val="10"/>
      <color rgb="FF13141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Fill="1"/>
    <xf numFmtId="0" fontId="2" fillId="0" borderId="0" xfId="0" applyFont="1"/>
    <xf numFmtId="0" fontId="1" fillId="0" borderId="0" xfId="0" applyFont="1"/>
    <xf numFmtId="0" fontId="1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2" borderId="0" xfId="0" applyFill="1" applyAlignment="1">
      <alignment wrapText="1"/>
    </xf>
    <xf numFmtId="0" fontId="0" fillId="2" borderId="0" xfId="0" applyFill="1" applyAlignment="1"/>
    <xf numFmtId="0" fontId="5" fillId="2" borderId="0" xfId="1" applyFill="1" applyAlignment="1"/>
    <xf numFmtId="0" fontId="0" fillId="0" borderId="0" xfId="0" applyFill="1" applyAlignment="1"/>
    <xf numFmtId="0" fontId="5" fillId="3" borderId="0" xfId="1" applyFill="1" applyAlignment="1"/>
    <xf numFmtId="0" fontId="0" fillId="3" borderId="0" xfId="0" applyFill="1" applyAlignment="1"/>
    <xf numFmtId="0" fontId="0" fillId="3" borderId="0" xfId="0" applyFill="1" applyAlignment="1">
      <alignment horizontal="left" vertical="center" wrapText="1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4" borderId="0" xfId="0" applyFont="1" applyFill="1"/>
    <xf numFmtId="0" fontId="0" fillId="4" borderId="0" xfId="0" applyFill="1"/>
    <xf numFmtId="0" fontId="0" fillId="0" borderId="0" xfId="0" applyFill="1" applyAlignment="1">
      <alignment horizontal="left" vertical="center" indent="1"/>
    </xf>
    <xf numFmtId="0" fontId="0" fillId="0" borderId="0" xfId="0" applyAlignment="1"/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vertical="center"/>
    </xf>
    <xf numFmtId="0" fontId="7" fillId="0" borderId="0" xfId="0" applyFont="1" applyAlignment="1"/>
    <xf numFmtId="2" fontId="0" fillId="0" borderId="0" xfId="0" applyNumberFormat="1" applyFill="1"/>
  </cellXfs>
  <cellStyles count="2">
    <cellStyle name="Hyperlink" xfId="1" builtinId="8"/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debtheory.org/wiki/index.php?title=Zero-variate_data" TargetMode="External"/><Relationship Id="rId1" Type="http://schemas.openxmlformats.org/officeDocument/2006/relationships/hyperlink" Target="http://www.debtheory.org/wiki/index.php?title=Univariate_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5B9A-5EEA-4919-A212-86FD0886C1E5}">
  <dimension ref="A1:L223"/>
  <sheetViews>
    <sheetView zoomScale="85" zoomScaleNormal="85" workbookViewId="0">
      <pane ySplit="1" topLeftCell="A2" activePane="bottomLeft" state="frozen"/>
      <selection pane="bottomLeft" activeCell="E16" sqref="E16"/>
    </sheetView>
  </sheetViews>
  <sheetFormatPr defaultRowHeight="14.4"/>
  <cols>
    <col min="1" max="2" width="10.5546875" customWidth="1"/>
    <col min="3" max="3" width="4.33203125" customWidth="1"/>
    <col min="4" max="4" width="41.5546875" customWidth="1"/>
    <col min="5" max="5" width="12.6640625" customWidth="1"/>
    <col min="6" max="6" width="12.33203125" customWidth="1"/>
    <col min="7" max="7" width="54.21875" customWidth="1"/>
  </cols>
  <sheetData>
    <row r="1" spans="1:12" s="2" customFormat="1" ht="28.8">
      <c r="A1" s="2" t="s">
        <v>1</v>
      </c>
      <c r="B1" s="2" t="s">
        <v>2</v>
      </c>
      <c r="C1" s="2" t="s">
        <v>28</v>
      </c>
      <c r="D1" s="2" t="s">
        <v>16</v>
      </c>
      <c r="E1" s="7" t="s">
        <v>23</v>
      </c>
      <c r="F1" s="2" t="s">
        <v>17</v>
      </c>
      <c r="G1" s="2" t="s">
        <v>67</v>
      </c>
      <c r="H1" s="2" t="s">
        <v>44</v>
      </c>
    </row>
    <row r="2" spans="1:12">
      <c r="A2" s="22" t="s">
        <v>20</v>
      </c>
      <c r="B2">
        <v>14</v>
      </c>
      <c r="C2" t="s">
        <v>19</v>
      </c>
      <c r="D2" t="s">
        <v>279</v>
      </c>
      <c r="E2">
        <v>21</v>
      </c>
      <c r="F2" t="s">
        <v>270</v>
      </c>
      <c r="G2" t="s">
        <v>278</v>
      </c>
      <c r="H2" s="1" t="s">
        <v>389</v>
      </c>
    </row>
    <row r="4" spans="1:12">
      <c r="A4" s="22" t="s">
        <v>21</v>
      </c>
      <c r="B4" s="1">
        <v>14.4</v>
      </c>
      <c r="C4" s="1" t="s">
        <v>19</v>
      </c>
      <c r="D4" s="1" t="s">
        <v>43</v>
      </c>
      <c r="E4" s="1">
        <v>21</v>
      </c>
      <c r="F4" s="1" t="s">
        <v>270</v>
      </c>
      <c r="G4" s="1" t="s">
        <v>278</v>
      </c>
      <c r="H4" s="1" t="s">
        <v>389</v>
      </c>
      <c r="L4" s="10"/>
    </row>
    <row r="5" spans="1:12">
      <c r="A5" s="22" t="s">
        <v>21</v>
      </c>
      <c r="B5">
        <v>18.239999999999998</v>
      </c>
      <c r="C5" t="s">
        <v>19</v>
      </c>
      <c r="D5" t="s">
        <v>43</v>
      </c>
      <c r="E5">
        <v>25</v>
      </c>
      <c r="F5" t="s">
        <v>41</v>
      </c>
      <c r="G5" t="s">
        <v>221</v>
      </c>
      <c r="H5" t="s">
        <v>384</v>
      </c>
      <c r="L5" s="10"/>
    </row>
    <row r="6" spans="1:12">
      <c r="A6" s="22" t="s">
        <v>21</v>
      </c>
      <c r="B6">
        <v>15.86</v>
      </c>
      <c r="C6" t="s">
        <v>19</v>
      </c>
      <c r="D6" t="s">
        <v>43</v>
      </c>
      <c r="E6">
        <v>30</v>
      </c>
      <c r="F6" t="s">
        <v>41</v>
      </c>
      <c r="G6" t="s">
        <v>42</v>
      </c>
      <c r="H6" t="s">
        <v>384</v>
      </c>
      <c r="L6" s="10"/>
    </row>
    <row r="7" spans="1:12">
      <c r="A7" s="22" t="s">
        <v>21</v>
      </c>
      <c r="B7">
        <v>14.98</v>
      </c>
      <c r="C7" t="s">
        <v>19</v>
      </c>
      <c r="D7" t="s">
        <v>43</v>
      </c>
      <c r="E7">
        <v>37</v>
      </c>
      <c r="F7" t="s">
        <v>41</v>
      </c>
      <c r="G7" t="s">
        <v>42</v>
      </c>
      <c r="H7" t="s">
        <v>384</v>
      </c>
      <c r="L7" s="10"/>
    </row>
    <row r="8" spans="1:12" s="4" customFormat="1">
      <c r="A8" s="22" t="s">
        <v>21</v>
      </c>
      <c r="B8">
        <v>27.25</v>
      </c>
      <c r="C8" s="4" t="s">
        <v>19</v>
      </c>
      <c r="D8" t="s">
        <v>43</v>
      </c>
      <c r="E8" s="4">
        <v>20</v>
      </c>
      <c r="F8" t="s">
        <v>234</v>
      </c>
      <c r="G8" s="4" t="s">
        <v>237</v>
      </c>
      <c r="H8" s="4" t="s">
        <v>398</v>
      </c>
    </row>
    <row r="9" spans="1:12" s="4" customFormat="1">
      <c r="A9" s="22" t="s">
        <v>21</v>
      </c>
      <c r="B9" s="1">
        <v>35.520000000000003</v>
      </c>
      <c r="C9" s="4" t="s">
        <v>19</v>
      </c>
      <c r="D9" s="1" t="s">
        <v>43</v>
      </c>
      <c r="E9" s="4">
        <v>20</v>
      </c>
      <c r="F9" s="1" t="s">
        <v>234</v>
      </c>
      <c r="G9" s="21" t="s">
        <v>238</v>
      </c>
      <c r="H9" s="4" t="s">
        <v>399</v>
      </c>
    </row>
    <row r="10" spans="1:12" s="4" customFormat="1">
      <c r="A10" s="21" t="s">
        <v>402</v>
      </c>
      <c r="B10" s="1">
        <v>23.53</v>
      </c>
      <c r="C10" s="4" t="s">
        <v>19</v>
      </c>
      <c r="D10" s="1" t="s">
        <v>43</v>
      </c>
      <c r="E10" s="4">
        <v>20</v>
      </c>
      <c r="F10" s="1" t="s">
        <v>234</v>
      </c>
      <c r="G10" s="4" t="s">
        <v>237</v>
      </c>
      <c r="H10" s="4" t="s">
        <v>398</v>
      </c>
    </row>
    <row r="11" spans="1:12" s="4" customFormat="1">
      <c r="A11" s="21" t="s">
        <v>402</v>
      </c>
      <c r="B11" s="1">
        <v>25.21</v>
      </c>
      <c r="C11" s="4" t="s">
        <v>19</v>
      </c>
      <c r="D11" s="1" t="s">
        <v>43</v>
      </c>
      <c r="E11" s="4">
        <v>20</v>
      </c>
      <c r="F11" s="1" t="s">
        <v>234</v>
      </c>
      <c r="G11" s="21" t="s">
        <v>238</v>
      </c>
      <c r="H11" s="4" t="s">
        <v>399</v>
      </c>
    </row>
    <row r="12" spans="1:12">
      <c r="A12" s="1"/>
    </row>
    <row r="13" spans="1:12">
      <c r="A13" s="22" t="s">
        <v>233</v>
      </c>
      <c r="B13">
        <f>48/24</f>
        <v>2</v>
      </c>
      <c r="C13" t="s">
        <v>19</v>
      </c>
      <c r="D13" t="s">
        <v>372</v>
      </c>
      <c r="E13">
        <v>22.6</v>
      </c>
      <c r="F13" t="s">
        <v>326</v>
      </c>
      <c r="G13" t="s">
        <v>290</v>
      </c>
      <c r="H13" s="1" t="s">
        <v>395</v>
      </c>
    </row>
    <row r="14" spans="1:12">
      <c r="A14" s="22" t="s">
        <v>233</v>
      </c>
      <c r="B14">
        <f>48/24</f>
        <v>2</v>
      </c>
      <c r="C14" t="s">
        <v>19</v>
      </c>
      <c r="D14" t="s">
        <v>372</v>
      </c>
      <c r="E14">
        <v>22.3</v>
      </c>
      <c r="F14" t="s">
        <v>326</v>
      </c>
      <c r="G14" t="s">
        <v>290</v>
      </c>
      <c r="H14" s="1" t="s">
        <v>395</v>
      </c>
    </row>
    <row r="15" spans="1:12">
      <c r="A15" s="22" t="s">
        <v>233</v>
      </c>
      <c r="B15">
        <f>48/24</f>
        <v>2</v>
      </c>
      <c r="C15" t="s">
        <v>19</v>
      </c>
      <c r="D15" t="s">
        <v>372</v>
      </c>
      <c r="E15">
        <v>20.5</v>
      </c>
      <c r="F15" t="s">
        <v>326</v>
      </c>
      <c r="G15" t="s">
        <v>290</v>
      </c>
      <c r="H15" s="1" t="s">
        <v>395</v>
      </c>
    </row>
    <row r="16" spans="1:12">
      <c r="A16" s="22" t="s">
        <v>233</v>
      </c>
      <c r="B16">
        <f>48/24</f>
        <v>2</v>
      </c>
      <c r="C16" t="s">
        <v>19</v>
      </c>
      <c r="D16" t="s">
        <v>372</v>
      </c>
      <c r="E16">
        <v>19.8</v>
      </c>
      <c r="F16" t="s">
        <v>326</v>
      </c>
      <c r="G16" t="s">
        <v>290</v>
      </c>
      <c r="H16" s="1" t="s">
        <v>395</v>
      </c>
    </row>
    <row r="17" spans="1:8">
      <c r="A17" s="22" t="s">
        <v>233</v>
      </c>
      <c r="B17">
        <f>72/24</f>
        <v>3</v>
      </c>
      <c r="C17" t="s">
        <v>19</v>
      </c>
      <c r="D17" t="s">
        <v>372</v>
      </c>
      <c r="E17">
        <v>17</v>
      </c>
      <c r="F17" t="s">
        <v>326</v>
      </c>
      <c r="G17" t="s">
        <v>290</v>
      </c>
      <c r="H17" s="1" t="s">
        <v>395</v>
      </c>
    </row>
    <row r="18" spans="1:8">
      <c r="A18" s="22" t="s">
        <v>233</v>
      </c>
      <c r="B18">
        <f>72/24</f>
        <v>3</v>
      </c>
      <c r="C18" t="s">
        <v>19</v>
      </c>
      <c r="D18" t="s">
        <v>372</v>
      </c>
      <c r="E18">
        <v>17</v>
      </c>
      <c r="F18" t="s">
        <v>326</v>
      </c>
      <c r="G18" t="s">
        <v>290</v>
      </c>
      <c r="H18" s="1" t="s">
        <v>395</v>
      </c>
    </row>
    <row r="19" spans="1:8">
      <c r="A19" s="22" t="s">
        <v>233</v>
      </c>
      <c r="B19">
        <f>72/24</f>
        <v>3</v>
      </c>
      <c r="C19" t="s">
        <v>19</v>
      </c>
      <c r="D19" t="s">
        <v>372</v>
      </c>
      <c r="E19">
        <v>16</v>
      </c>
      <c r="F19" t="s">
        <v>326</v>
      </c>
      <c r="G19" t="s">
        <v>290</v>
      </c>
      <c r="H19" s="1" t="s">
        <v>395</v>
      </c>
    </row>
    <row r="20" spans="1:8">
      <c r="A20" s="22" t="s">
        <v>233</v>
      </c>
      <c r="B20">
        <f>72/24</f>
        <v>3</v>
      </c>
      <c r="C20" t="s">
        <v>19</v>
      </c>
      <c r="D20" t="s">
        <v>372</v>
      </c>
      <c r="E20">
        <v>15.4</v>
      </c>
      <c r="F20" t="s">
        <v>326</v>
      </c>
      <c r="G20" t="s">
        <v>290</v>
      </c>
      <c r="H20" s="1" t="s">
        <v>395</v>
      </c>
    </row>
    <row r="21" spans="1:8">
      <c r="A21" s="22" t="s">
        <v>233</v>
      </c>
      <c r="B21">
        <f>120/24</f>
        <v>5</v>
      </c>
      <c r="C21" t="s">
        <v>19</v>
      </c>
      <c r="D21" t="s">
        <v>372</v>
      </c>
      <c r="E21">
        <v>14</v>
      </c>
      <c r="F21" t="s">
        <v>326</v>
      </c>
      <c r="G21" t="s">
        <v>290</v>
      </c>
      <c r="H21" s="1" t="s">
        <v>395</v>
      </c>
    </row>
    <row r="22" spans="1:8">
      <c r="A22" s="22" t="s">
        <v>233</v>
      </c>
      <c r="B22">
        <f>156/24</f>
        <v>6.5</v>
      </c>
      <c r="C22" t="s">
        <v>19</v>
      </c>
      <c r="D22" t="s">
        <v>372</v>
      </c>
      <c r="E22">
        <v>11.7</v>
      </c>
      <c r="F22" t="s">
        <v>326</v>
      </c>
      <c r="G22" t="s">
        <v>290</v>
      </c>
      <c r="H22" s="1" t="s">
        <v>395</v>
      </c>
    </row>
    <row r="23" spans="1:8">
      <c r="A23" s="22" t="s">
        <v>233</v>
      </c>
      <c r="B23">
        <v>1</v>
      </c>
      <c r="C23" t="s">
        <v>19</v>
      </c>
      <c r="D23" t="s">
        <v>372</v>
      </c>
      <c r="E23">
        <v>27.8</v>
      </c>
      <c r="F23" t="s">
        <v>326</v>
      </c>
      <c r="G23" t="s">
        <v>332</v>
      </c>
      <c r="H23" s="1" t="s">
        <v>395</v>
      </c>
    </row>
    <row r="24" spans="1:8">
      <c r="A24" s="22" t="s">
        <v>233</v>
      </c>
      <c r="B24">
        <v>2</v>
      </c>
      <c r="C24" t="s">
        <v>19</v>
      </c>
      <c r="D24" t="s">
        <v>372</v>
      </c>
      <c r="E24">
        <v>23</v>
      </c>
      <c r="F24" t="s">
        <v>326</v>
      </c>
      <c r="G24" t="s">
        <v>332</v>
      </c>
      <c r="H24" s="1" t="s">
        <v>395</v>
      </c>
    </row>
    <row r="25" spans="1:8">
      <c r="A25" s="22" t="s">
        <v>233</v>
      </c>
      <c r="B25">
        <v>3</v>
      </c>
      <c r="C25" t="s">
        <v>19</v>
      </c>
      <c r="D25" t="s">
        <v>372</v>
      </c>
      <c r="E25">
        <v>20.399999999999999</v>
      </c>
      <c r="F25" t="s">
        <v>326</v>
      </c>
      <c r="G25" t="s">
        <v>332</v>
      </c>
      <c r="H25" s="1" t="s">
        <v>395</v>
      </c>
    </row>
    <row r="26" spans="1:8">
      <c r="A26" s="22" t="s">
        <v>233</v>
      </c>
      <c r="B26">
        <v>2</v>
      </c>
      <c r="C26" t="s">
        <v>19</v>
      </c>
      <c r="D26" t="s">
        <v>372</v>
      </c>
      <c r="E26">
        <v>20</v>
      </c>
      <c r="F26" t="s">
        <v>326</v>
      </c>
      <c r="G26" t="s">
        <v>332</v>
      </c>
      <c r="H26" s="1" t="s">
        <v>395</v>
      </c>
    </row>
    <row r="27" spans="1:8">
      <c r="A27" s="22" t="s">
        <v>233</v>
      </c>
      <c r="B27">
        <v>2</v>
      </c>
      <c r="C27" t="s">
        <v>19</v>
      </c>
      <c r="D27" t="s">
        <v>372</v>
      </c>
      <c r="E27">
        <v>19.2</v>
      </c>
      <c r="F27" t="s">
        <v>326</v>
      </c>
      <c r="G27" t="s">
        <v>332</v>
      </c>
      <c r="H27" s="1" t="s">
        <v>395</v>
      </c>
    </row>
    <row r="28" spans="1:8">
      <c r="A28" s="22" t="s">
        <v>233</v>
      </c>
      <c r="B28">
        <v>3</v>
      </c>
      <c r="C28" t="s">
        <v>19</v>
      </c>
      <c r="D28" t="s">
        <v>372</v>
      </c>
      <c r="E28">
        <v>16.100000000000001</v>
      </c>
      <c r="F28" t="s">
        <v>326</v>
      </c>
      <c r="G28" t="s">
        <v>332</v>
      </c>
      <c r="H28" s="1" t="s">
        <v>395</v>
      </c>
    </row>
    <row r="29" spans="1:8">
      <c r="A29" s="22" t="s">
        <v>233</v>
      </c>
      <c r="B29">
        <v>5</v>
      </c>
      <c r="C29" t="s">
        <v>19</v>
      </c>
      <c r="D29" t="s">
        <v>372</v>
      </c>
      <c r="E29">
        <v>14.4</v>
      </c>
      <c r="F29" t="s">
        <v>326</v>
      </c>
      <c r="G29" t="s">
        <v>332</v>
      </c>
      <c r="H29" s="1" t="s">
        <v>395</v>
      </c>
    </row>
    <row r="30" spans="1:8">
      <c r="A30" s="22" t="s">
        <v>233</v>
      </c>
      <c r="B30">
        <v>5</v>
      </c>
      <c r="C30" t="s">
        <v>19</v>
      </c>
      <c r="D30" t="s">
        <v>372</v>
      </c>
      <c r="E30">
        <v>13.5</v>
      </c>
      <c r="F30" t="s">
        <v>326</v>
      </c>
      <c r="G30" t="s">
        <v>332</v>
      </c>
      <c r="H30" s="1" t="s">
        <v>395</v>
      </c>
    </row>
    <row r="31" spans="1:8">
      <c r="A31" s="22" t="s">
        <v>233</v>
      </c>
      <c r="B31">
        <v>6</v>
      </c>
      <c r="C31" t="s">
        <v>19</v>
      </c>
      <c r="D31" t="s">
        <v>372</v>
      </c>
      <c r="E31">
        <v>12.5</v>
      </c>
      <c r="F31" t="s">
        <v>326</v>
      </c>
      <c r="G31" t="s">
        <v>332</v>
      </c>
      <c r="H31" s="1" t="s">
        <v>395</v>
      </c>
    </row>
    <row r="32" spans="1:8">
      <c r="A32" s="22" t="s">
        <v>233</v>
      </c>
      <c r="B32">
        <v>2.13</v>
      </c>
      <c r="C32" t="s">
        <v>19</v>
      </c>
      <c r="D32" t="s">
        <v>372</v>
      </c>
      <c r="E32">
        <v>24.6</v>
      </c>
      <c r="F32" t="s">
        <v>313</v>
      </c>
      <c r="G32" t="s">
        <v>333</v>
      </c>
      <c r="H32" s="1" t="s">
        <v>395</v>
      </c>
    </row>
    <row r="33" spans="1:8">
      <c r="A33" s="22" t="s">
        <v>233</v>
      </c>
      <c r="B33">
        <v>2.13</v>
      </c>
      <c r="C33" t="s">
        <v>19</v>
      </c>
      <c r="D33" t="s">
        <v>372</v>
      </c>
      <c r="E33">
        <v>21</v>
      </c>
      <c r="F33" t="s">
        <v>313</v>
      </c>
      <c r="G33" t="s">
        <v>333</v>
      </c>
      <c r="H33" s="1" t="s">
        <v>395</v>
      </c>
    </row>
    <row r="34" spans="1:8">
      <c r="A34" s="22" t="s">
        <v>233</v>
      </c>
      <c r="B34">
        <v>3.13</v>
      </c>
      <c r="C34" t="s">
        <v>19</v>
      </c>
      <c r="D34" t="s">
        <v>372</v>
      </c>
      <c r="E34">
        <v>12.1</v>
      </c>
      <c r="F34" t="s">
        <v>313</v>
      </c>
      <c r="G34" t="s">
        <v>333</v>
      </c>
      <c r="H34" s="1" t="s">
        <v>395</v>
      </c>
    </row>
    <row r="35" spans="1:8">
      <c r="A35" s="22" t="s">
        <v>233</v>
      </c>
      <c r="B35">
        <v>0.9</v>
      </c>
      <c r="C35" t="s">
        <v>19</v>
      </c>
      <c r="D35" t="s">
        <v>372</v>
      </c>
      <c r="E35">
        <v>32.5</v>
      </c>
      <c r="F35" s="1" t="s">
        <v>346</v>
      </c>
      <c r="G35" t="s">
        <v>290</v>
      </c>
      <c r="H35" s="1" t="s">
        <v>395</v>
      </c>
    </row>
    <row r="36" spans="1:8">
      <c r="A36" s="22" t="s">
        <v>233</v>
      </c>
      <c r="B36">
        <v>1.3</v>
      </c>
      <c r="C36" t="s">
        <v>19</v>
      </c>
      <c r="D36" t="s">
        <v>372</v>
      </c>
      <c r="E36">
        <v>30</v>
      </c>
      <c r="F36" s="1" t="s">
        <v>346</v>
      </c>
      <c r="G36" t="s">
        <v>290</v>
      </c>
      <c r="H36" s="1" t="s">
        <v>395</v>
      </c>
    </row>
    <row r="37" spans="1:8">
      <c r="A37" s="22" t="s">
        <v>233</v>
      </c>
      <c r="B37">
        <v>1.5</v>
      </c>
      <c r="C37" t="s">
        <v>19</v>
      </c>
      <c r="D37" t="s">
        <v>372</v>
      </c>
      <c r="E37">
        <v>27.5</v>
      </c>
      <c r="F37" s="1" t="s">
        <v>346</v>
      </c>
      <c r="G37" t="s">
        <v>290</v>
      </c>
      <c r="H37" s="1" t="s">
        <v>395</v>
      </c>
    </row>
    <row r="38" spans="1:8">
      <c r="A38" s="22" t="s">
        <v>233</v>
      </c>
      <c r="B38">
        <v>2</v>
      </c>
      <c r="C38" t="s">
        <v>19</v>
      </c>
      <c r="D38" t="s">
        <v>372</v>
      </c>
      <c r="E38">
        <v>25</v>
      </c>
      <c r="F38" s="1" t="s">
        <v>346</v>
      </c>
      <c r="G38" t="s">
        <v>290</v>
      </c>
      <c r="H38" s="1" t="s">
        <v>395</v>
      </c>
    </row>
    <row r="39" spans="1:8">
      <c r="A39" s="22" t="s">
        <v>233</v>
      </c>
      <c r="B39">
        <v>2</v>
      </c>
      <c r="C39" t="s">
        <v>19</v>
      </c>
      <c r="D39" t="s">
        <v>372</v>
      </c>
      <c r="E39">
        <v>22.5</v>
      </c>
      <c r="F39" s="1" t="s">
        <v>346</v>
      </c>
      <c r="G39" t="s">
        <v>290</v>
      </c>
      <c r="H39" s="1" t="s">
        <v>395</v>
      </c>
    </row>
    <row r="40" spans="1:8">
      <c r="A40" s="22" t="s">
        <v>233</v>
      </c>
      <c r="B40">
        <v>2.9</v>
      </c>
      <c r="C40" t="s">
        <v>19</v>
      </c>
      <c r="D40" t="s">
        <v>372</v>
      </c>
      <c r="E40">
        <v>20</v>
      </c>
      <c r="F40" s="1" t="s">
        <v>346</v>
      </c>
      <c r="G40" t="s">
        <v>290</v>
      </c>
      <c r="H40" s="1" t="s">
        <v>395</v>
      </c>
    </row>
    <row r="41" spans="1:8">
      <c r="A41" s="22" t="s">
        <v>233</v>
      </c>
      <c r="B41">
        <v>3.1</v>
      </c>
      <c r="C41" t="s">
        <v>19</v>
      </c>
      <c r="D41" t="s">
        <v>372</v>
      </c>
      <c r="E41">
        <v>17.5</v>
      </c>
      <c r="F41" s="1" t="s">
        <v>346</v>
      </c>
      <c r="G41" t="s">
        <v>290</v>
      </c>
      <c r="H41" s="1" t="s">
        <v>395</v>
      </c>
    </row>
    <row r="42" spans="1:8">
      <c r="A42" s="22" t="s">
        <v>233</v>
      </c>
      <c r="B42">
        <v>4.0999999999999996</v>
      </c>
      <c r="C42" t="s">
        <v>19</v>
      </c>
      <c r="D42" t="s">
        <v>372</v>
      </c>
      <c r="E42">
        <v>15</v>
      </c>
      <c r="F42" s="1" t="s">
        <v>346</v>
      </c>
      <c r="G42" t="s">
        <v>290</v>
      </c>
      <c r="H42" s="1" t="s">
        <v>395</v>
      </c>
    </row>
    <row r="43" spans="1:8" s="1" customFormat="1"/>
    <row r="44" spans="1:8">
      <c r="A44" s="22" t="s">
        <v>233</v>
      </c>
      <c r="B44">
        <v>5</v>
      </c>
      <c r="C44" t="s">
        <v>19</v>
      </c>
      <c r="D44" t="s">
        <v>347</v>
      </c>
      <c r="E44">
        <v>27.8</v>
      </c>
      <c r="F44" t="s">
        <v>326</v>
      </c>
      <c r="G44" t="s">
        <v>332</v>
      </c>
      <c r="H44" s="1" t="s">
        <v>395</v>
      </c>
    </row>
    <row r="45" spans="1:8">
      <c r="A45" s="22" t="s">
        <v>233</v>
      </c>
      <c r="B45">
        <v>3</v>
      </c>
      <c r="C45" t="s">
        <v>19</v>
      </c>
      <c r="D45" t="s">
        <v>347</v>
      </c>
      <c r="E45">
        <v>23</v>
      </c>
      <c r="F45" t="s">
        <v>326</v>
      </c>
      <c r="G45" t="s">
        <v>332</v>
      </c>
      <c r="H45" s="1" t="s">
        <v>395</v>
      </c>
    </row>
    <row r="46" spans="1:8">
      <c r="A46" s="22" t="s">
        <v>233</v>
      </c>
      <c r="B46">
        <v>4</v>
      </c>
      <c r="C46" t="s">
        <v>19</v>
      </c>
      <c r="D46" t="s">
        <v>347</v>
      </c>
      <c r="E46">
        <v>20.399999999999999</v>
      </c>
      <c r="F46" t="s">
        <v>326</v>
      </c>
      <c r="G46" t="s">
        <v>332</v>
      </c>
      <c r="H46" s="1" t="s">
        <v>395</v>
      </c>
    </row>
    <row r="47" spans="1:8">
      <c r="A47" s="22" t="s">
        <v>233</v>
      </c>
      <c r="B47">
        <v>4</v>
      </c>
      <c r="C47" t="s">
        <v>19</v>
      </c>
      <c r="D47" t="s">
        <v>347</v>
      </c>
      <c r="E47">
        <v>20</v>
      </c>
      <c r="F47" t="s">
        <v>326</v>
      </c>
      <c r="G47" t="s">
        <v>332</v>
      </c>
      <c r="H47" s="1" t="s">
        <v>395</v>
      </c>
    </row>
    <row r="48" spans="1:8">
      <c r="A48" s="22" t="s">
        <v>233</v>
      </c>
      <c r="B48">
        <v>4</v>
      </c>
      <c r="C48" t="s">
        <v>19</v>
      </c>
      <c r="D48" t="s">
        <v>347</v>
      </c>
      <c r="E48">
        <v>19.2</v>
      </c>
      <c r="F48" t="s">
        <v>326</v>
      </c>
      <c r="G48" t="s">
        <v>332</v>
      </c>
      <c r="H48" s="1" t="s">
        <v>395</v>
      </c>
    </row>
    <row r="49" spans="1:8">
      <c r="A49" s="22" t="s">
        <v>233</v>
      </c>
      <c r="B49">
        <v>6</v>
      </c>
      <c r="C49" t="s">
        <v>19</v>
      </c>
      <c r="D49" t="s">
        <v>347</v>
      </c>
      <c r="E49">
        <v>16.100000000000001</v>
      </c>
      <c r="F49" t="s">
        <v>326</v>
      </c>
      <c r="G49" t="s">
        <v>332</v>
      </c>
      <c r="H49" s="1" t="s">
        <v>395</v>
      </c>
    </row>
    <row r="50" spans="1:8">
      <c r="A50" s="22" t="s">
        <v>233</v>
      </c>
      <c r="B50">
        <v>11</v>
      </c>
      <c r="C50" t="s">
        <v>19</v>
      </c>
      <c r="D50" t="s">
        <v>347</v>
      </c>
      <c r="E50">
        <v>14.4</v>
      </c>
      <c r="F50" t="s">
        <v>326</v>
      </c>
      <c r="G50" t="s">
        <v>332</v>
      </c>
      <c r="H50" s="1" t="s">
        <v>395</v>
      </c>
    </row>
    <row r="51" spans="1:8">
      <c r="A51" s="22" t="s">
        <v>233</v>
      </c>
      <c r="B51">
        <v>5.25</v>
      </c>
      <c r="C51" t="s">
        <v>19</v>
      </c>
      <c r="D51" t="s">
        <v>347</v>
      </c>
      <c r="E51">
        <v>24.6</v>
      </c>
      <c r="F51" t="s">
        <v>313</v>
      </c>
      <c r="G51" t="s">
        <v>333</v>
      </c>
      <c r="H51" s="1" t="s">
        <v>395</v>
      </c>
    </row>
    <row r="52" spans="1:8">
      <c r="A52" s="22" t="s">
        <v>233</v>
      </c>
      <c r="B52">
        <v>5.25</v>
      </c>
      <c r="C52" t="s">
        <v>19</v>
      </c>
      <c r="D52" t="s">
        <v>347</v>
      </c>
      <c r="E52">
        <v>21</v>
      </c>
      <c r="F52" t="s">
        <v>313</v>
      </c>
      <c r="G52" t="s">
        <v>333</v>
      </c>
      <c r="H52" s="1" t="s">
        <v>395</v>
      </c>
    </row>
    <row r="53" spans="1:8">
      <c r="A53" s="22" t="s">
        <v>233</v>
      </c>
      <c r="B53">
        <v>6.5</v>
      </c>
      <c r="C53" t="s">
        <v>19</v>
      </c>
      <c r="D53" t="s">
        <v>347</v>
      </c>
      <c r="E53">
        <v>12.1</v>
      </c>
      <c r="F53" t="s">
        <v>313</v>
      </c>
      <c r="G53" t="s">
        <v>333</v>
      </c>
      <c r="H53" s="1" t="s">
        <v>395</v>
      </c>
    </row>
    <row r="54" spans="1:8">
      <c r="A54" s="22" t="s">
        <v>233</v>
      </c>
      <c r="B54">
        <f>0.9+2.8</f>
        <v>3.6999999999999997</v>
      </c>
      <c r="C54" t="s">
        <v>19</v>
      </c>
      <c r="D54" t="s">
        <v>347</v>
      </c>
      <c r="E54">
        <v>32.5</v>
      </c>
      <c r="F54" s="1" t="s">
        <v>346</v>
      </c>
      <c r="G54" t="s">
        <v>290</v>
      </c>
      <c r="H54" s="1" t="s">
        <v>395</v>
      </c>
    </row>
    <row r="55" spans="1:8">
      <c r="A55" s="22" t="s">
        <v>233</v>
      </c>
      <c r="B55">
        <f>1.3+3.5</f>
        <v>4.8</v>
      </c>
      <c r="C55" t="s">
        <v>19</v>
      </c>
      <c r="D55" t="s">
        <v>347</v>
      </c>
      <c r="E55">
        <v>30</v>
      </c>
      <c r="F55" s="1" t="s">
        <v>346</v>
      </c>
      <c r="G55" t="s">
        <v>290</v>
      </c>
      <c r="H55" s="1" t="s">
        <v>395</v>
      </c>
    </row>
    <row r="56" spans="1:8">
      <c r="A56" s="22" t="s">
        <v>233</v>
      </c>
      <c r="B56">
        <f>1.5+3.6</f>
        <v>5.0999999999999996</v>
      </c>
      <c r="C56" t="s">
        <v>19</v>
      </c>
      <c r="D56" t="s">
        <v>347</v>
      </c>
      <c r="E56">
        <v>27.5</v>
      </c>
      <c r="F56" s="1" t="s">
        <v>346</v>
      </c>
      <c r="G56" t="s">
        <v>290</v>
      </c>
      <c r="H56" s="1" t="s">
        <v>395</v>
      </c>
    </row>
    <row r="57" spans="1:8">
      <c r="A57" s="22" t="s">
        <v>233</v>
      </c>
      <c r="B57">
        <f>2+3.7</f>
        <v>5.7</v>
      </c>
      <c r="C57" t="s">
        <v>19</v>
      </c>
      <c r="D57" t="s">
        <v>347</v>
      </c>
      <c r="E57">
        <v>25</v>
      </c>
      <c r="F57" s="1" t="s">
        <v>346</v>
      </c>
      <c r="G57" t="s">
        <v>290</v>
      </c>
      <c r="H57" s="1" t="s">
        <v>395</v>
      </c>
    </row>
    <row r="58" spans="1:8">
      <c r="A58" s="22" t="s">
        <v>233</v>
      </c>
      <c r="B58">
        <f>2+6.4</f>
        <v>8.4</v>
      </c>
      <c r="C58" t="s">
        <v>19</v>
      </c>
      <c r="D58" t="s">
        <v>347</v>
      </c>
      <c r="E58">
        <v>22.5</v>
      </c>
      <c r="F58" s="1" t="s">
        <v>346</v>
      </c>
      <c r="G58" t="s">
        <v>290</v>
      </c>
      <c r="H58" s="1" t="s">
        <v>395</v>
      </c>
    </row>
    <row r="59" spans="1:8">
      <c r="A59" s="22" t="s">
        <v>233</v>
      </c>
      <c r="B59">
        <f>2.9+11.5</f>
        <v>14.4</v>
      </c>
      <c r="C59" t="s">
        <v>19</v>
      </c>
      <c r="D59" t="s">
        <v>347</v>
      </c>
      <c r="E59">
        <v>20</v>
      </c>
      <c r="F59" s="1" t="s">
        <v>346</v>
      </c>
      <c r="G59" t="s">
        <v>290</v>
      </c>
      <c r="H59" s="1" t="s">
        <v>395</v>
      </c>
    </row>
    <row r="60" spans="1:8">
      <c r="A60" s="22" t="s">
        <v>233</v>
      </c>
      <c r="B60">
        <f>3.1+11.8</f>
        <v>14.9</v>
      </c>
      <c r="C60" t="s">
        <v>19</v>
      </c>
      <c r="D60" t="s">
        <v>347</v>
      </c>
      <c r="E60">
        <v>17.5</v>
      </c>
      <c r="F60" s="1" t="s">
        <v>346</v>
      </c>
      <c r="G60" t="s">
        <v>290</v>
      </c>
      <c r="H60" s="1" t="s">
        <v>395</v>
      </c>
    </row>
    <row r="61" spans="1:8">
      <c r="A61" s="22" t="s">
        <v>233</v>
      </c>
      <c r="B61">
        <f>4.1+13.2</f>
        <v>17.299999999999997</v>
      </c>
      <c r="C61" t="s">
        <v>19</v>
      </c>
      <c r="D61" t="s">
        <v>347</v>
      </c>
      <c r="E61">
        <v>15</v>
      </c>
      <c r="F61" s="1" t="s">
        <v>346</v>
      </c>
      <c r="G61" t="s">
        <v>290</v>
      </c>
      <c r="H61" s="1" t="s">
        <v>395</v>
      </c>
    </row>
    <row r="62" spans="1:8" s="1" customFormat="1"/>
    <row r="63" spans="1:8">
      <c r="A63" s="22" t="s">
        <v>233</v>
      </c>
      <c r="B63">
        <v>7</v>
      </c>
      <c r="C63" t="s">
        <v>19</v>
      </c>
      <c r="D63" t="s">
        <v>348</v>
      </c>
      <c r="E63">
        <v>27.8</v>
      </c>
      <c r="F63" t="s">
        <v>326</v>
      </c>
      <c r="G63" t="s">
        <v>332</v>
      </c>
      <c r="H63" s="1" t="s">
        <v>395</v>
      </c>
    </row>
    <row r="64" spans="1:8">
      <c r="A64" s="22" t="s">
        <v>233</v>
      </c>
      <c r="B64">
        <v>4</v>
      </c>
      <c r="C64" t="s">
        <v>19</v>
      </c>
      <c r="D64" t="s">
        <v>348</v>
      </c>
      <c r="E64">
        <v>23</v>
      </c>
      <c r="F64" t="s">
        <v>326</v>
      </c>
      <c r="G64" t="s">
        <v>332</v>
      </c>
      <c r="H64" s="1" t="s">
        <v>395</v>
      </c>
    </row>
    <row r="65" spans="1:8">
      <c r="A65" s="22" t="s">
        <v>233</v>
      </c>
      <c r="B65">
        <v>5</v>
      </c>
      <c r="C65" t="s">
        <v>19</v>
      </c>
      <c r="D65" t="s">
        <v>348</v>
      </c>
      <c r="E65">
        <v>20.399999999999999</v>
      </c>
      <c r="F65" t="s">
        <v>326</v>
      </c>
      <c r="G65" t="s">
        <v>332</v>
      </c>
      <c r="H65" s="1" t="s">
        <v>395</v>
      </c>
    </row>
    <row r="66" spans="1:8">
      <c r="A66" s="22" t="s">
        <v>233</v>
      </c>
      <c r="B66">
        <v>7</v>
      </c>
      <c r="C66" t="s">
        <v>19</v>
      </c>
      <c r="D66" t="s">
        <v>348</v>
      </c>
      <c r="E66">
        <v>20</v>
      </c>
      <c r="F66" t="s">
        <v>326</v>
      </c>
      <c r="G66" t="s">
        <v>332</v>
      </c>
      <c r="H66" s="1" t="s">
        <v>395</v>
      </c>
    </row>
    <row r="67" spans="1:8">
      <c r="A67" s="22" t="s">
        <v>233</v>
      </c>
      <c r="B67">
        <v>6</v>
      </c>
      <c r="C67" t="s">
        <v>19</v>
      </c>
      <c r="D67" t="s">
        <v>348</v>
      </c>
      <c r="E67">
        <v>19.2</v>
      </c>
      <c r="F67" t="s">
        <v>326</v>
      </c>
      <c r="G67" t="s">
        <v>332</v>
      </c>
      <c r="H67" s="1" t="s">
        <v>395</v>
      </c>
    </row>
    <row r="68" spans="1:8">
      <c r="A68" s="22" t="s">
        <v>233</v>
      </c>
      <c r="B68">
        <v>9</v>
      </c>
      <c r="C68" t="s">
        <v>19</v>
      </c>
      <c r="D68" t="s">
        <v>348</v>
      </c>
      <c r="E68">
        <v>16.100000000000001</v>
      </c>
      <c r="F68" t="s">
        <v>326</v>
      </c>
      <c r="G68" t="s">
        <v>332</v>
      </c>
      <c r="H68" s="1" t="s">
        <v>395</v>
      </c>
    </row>
    <row r="69" spans="1:8">
      <c r="A69" s="22" t="s">
        <v>233</v>
      </c>
      <c r="B69">
        <v>16</v>
      </c>
      <c r="C69" t="s">
        <v>19</v>
      </c>
      <c r="D69" t="s">
        <v>348</v>
      </c>
      <c r="E69">
        <v>14.4</v>
      </c>
      <c r="F69" t="s">
        <v>326</v>
      </c>
      <c r="G69" t="s">
        <v>332</v>
      </c>
      <c r="H69" s="1" t="s">
        <v>395</v>
      </c>
    </row>
    <row r="70" spans="1:8">
      <c r="A70" s="22" t="s">
        <v>233</v>
      </c>
      <c r="B70">
        <v>7.5</v>
      </c>
      <c r="C70" t="s">
        <v>19</v>
      </c>
      <c r="D70" t="s">
        <v>348</v>
      </c>
      <c r="E70">
        <v>24.6</v>
      </c>
      <c r="F70" t="s">
        <v>313</v>
      </c>
      <c r="G70" t="s">
        <v>333</v>
      </c>
      <c r="H70" s="1" t="s">
        <v>395</v>
      </c>
    </row>
    <row r="71" spans="1:8">
      <c r="A71" s="22" t="s">
        <v>233</v>
      </c>
      <c r="B71">
        <v>7.5</v>
      </c>
      <c r="C71" t="s">
        <v>19</v>
      </c>
      <c r="D71" t="s">
        <v>348</v>
      </c>
      <c r="E71">
        <v>21</v>
      </c>
      <c r="F71" t="s">
        <v>313</v>
      </c>
      <c r="G71" t="s">
        <v>333</v>
      </c>
      <c r="H71" s="1" t="s">
        <v>395</v>
      </c>
    </row>
    <row r="72" spans="1:8">
      <c r="A72" s="22" t="s">
        <v>233</v>
      </c>
      <c r="B72">
        <v>8.5</v>
      </c>
      <c r="C72" t="s">
        <v>19</v>
      </c>
      <c r="D72" t="s">
        <v>348</v>
      </c>
      <c r="E72">
        <v>12.1</v>
      </c>
      <c r="F72" t="s">
        <v>313</v>
      </c>
      <c r="G72" t="s">
        <v>333</v>
      </c>
      <c r="H72" s="1" t="s">
        <v>395</v>
      </c>
    </row>
    <row r="73" spans="1:8">
      <c r="A73" s="22" t="s">
        <v>233</v>
      </c>
      <c r="B73">
        <f>0.9+2.8+1.7</f>
        <v>5.3999999999999995</v>
      </c>
      <c r="C73" t="s">
        <v>19</v>
      </c>
      <c r="D73" t="s">
        <v>348</v>
      </c>
      <c r="E73">
        <v>32.5</v>
      </c>
      <c r="F73" s="1" t="s">
        <v>346</v>
      </c>
      <c r="G73" t="s">
        <v>290</v>
      </c>
      <c r="H73" s="1" t="s">
        <v>395</v>
      </c>
    </row>
    <row r="74" spans="1:8">
      <c r="A74" s="22" t="s">
        <v>233</v>
      </c>
      <c r="B74">
        <f>1.3+3.5+2.7</f>
        <v>7.5</v>
      </c>
      <c r="C74" t="s">
        <v>19</v>
      </c>
      <c r="D74" t="s">
        <v>348</v>
      </c>
      <c r="E74">
        <v>30</v>
      </c>
      <c r="F74" s="1" t="s">
        <v>346</v>
      </c>
      <c r="G74" t="s">
        <v>290</v>
      </c>
      <c r="H74" s="1" t="s">
        <v>395</v>
      </c>
    </row>
    <row r="75" spans="1:8">
      <c r="A75" s="22" t="s">
        <v>233</v>
      </c>
      <c r="B75">
        <f>1.5+3.6+2.7</f>
        <v>7.8</v>
      </c>
      <c r="C75" t="s">
        <v>19</v>
      </c>
      <c r="D75" t="s">
        <v>348</v>
      </c>
      <c r="E75">
        <v>27.5</v>
      </c>
      <c r="F75" s="1" t="s">
        <v>346</v>
      </c>
      <c r="G75" t="s">
        <v>290</v>
      </c>
      <c r="H75" s="1" t="s">
        <v>395</v>
      </c>
    </row>
    <row r="76" spans="1:8">
      <c r="A76" s="22" t="s">
        <v>233</v>
      </c>
      <c r="B76">
        <f>2+3.7+3</f>
        <v>8.6999999999999993</v>
      </c>
      <c r="C76" t="s">
        <v>19</v>
      </c>
      <c r="D76" t="s">
        <v>348</v>
      </c>
      <c r="E76">
        <v>25</v>
      </c>
      <c r="F76" s="1" t="s">
        <v>346</v>
      </c>
      <c r="G76" t="s">
        <v>290</v>
      </c>
      <c r="H76" s="1" t="s">
        <v>395</v>
      </c>
    </row>
    <row r="77" spans="1:8">
      <c r="A77" s="22" t="s">
        <v>233</v>
      </c>
      <c r="B77">
        <f>2+6.4+4.1</f>
        <v>12.5</v>
      </c>
      <c r="C77" t="s">
        <v>19</v>
      </c>
      <c r="D77" t="s">
        <v>348</v>
      </c>
      <c r="E77">
        <v>22.5</v>
      </c>
      <c r="F77" s="1" t="s">
        <v>346</v>
      </c>
      <c r="G77" t="s">
        <v>290</v>
      </c>
      <c r="H77" s="1" t="s">
        <v>395</v>
      </c>
    </row>
    <row r="78" spans="1:8">
      <c r="A78" s="22" t="s">
        <v>233</v>
      </c>
      <c r="B78">
        <f>2.9+11.5+5.2</f>
        <v>19.600000000000001</v>
      </c>
      <c r="C78" t="s">
        <v>19</v>
      </c>
      <c r="D78" t="s">
        <v>348</v>
      </c>
      <c r="E78">
        <v>20</v>
      </c>
      <c r="F78" s="1" t="s">
        <v>346</v>
      </c>
      <c r="G78" t="s">
        <v>290</v>
      </c>
      <c r="H78" s="1" t="s">
        <v>395</v>
      </c>
    </row>
    <row r="79" spans="1:8">
      <c r="A79" s="22" t="s">
        <v>233</v>
      </c>
      <c r="B79">
        <f>3.1+11.8+6.3</f>
        <v>21.2</v>
      </c>
      <c r="C79" t="s">
        <v>19</v>
      </c>
      <c r="D79" t="s">
        <v>348</v>
      </c>
      <c r="E79">
        <v>17.5</v>
      </c>
      <c r="F79" s="1" t="s">
        <v>346</v>
      </c>
      <c r="G79" t="s">
        <v>290</v>
      </c>
      <c r="H79" s="1" t="s">
        <v>395</v>
      </c>
    </row>
    <row r="80" spans="1:8">
      <c r="A80" s="22" t="s">
        <v>233</v>
      </c>
      <c r="B80">
        <f>4.1+13.2+7.5</f>
        <v>24.799999999999997</v>
      </c>
      <c r="C80" t="s">
        <v>19</v>
      </c>
      <c r="D80" t="s">
        <v>348</v>
      </c>
      <c r="E80">
        <v>15</v>
      </c>
      <c r="F80" s="1" t="s">
        <v>346</v>
      </c>
      <c r="G80" t="s">
        <v>290</v>
      </c>
      <c r="H80" s="1" t="s">
        <v>395</v>
      </c>
    </row>
    <row r="81" spans="1:8" s="1" customFormat="1"/>
    <row r="82" spans="1:8">
      <c r="A82" s="22" t="s">
        <v>233</v>
      </c>
      <c r="B82">
        <v>9</v>
      </c>
      <c r="C82" t="s">
        <v>19</v>
      </c>
      <c r="D82" t="s">
        <v>349</v>
      </c>
      <c r="E82">
        <v>27.8</v>
      </c>
      <c r="F82" t="s">
        <v>326</v>
      </c>
      <c r="G82" t="s">
        <v>332</v>
      </c>
      <c r="H82" s="1" t="s">
        <v>395</v>
      </c>
    </row>
    <row r="83" spans="1:8">
      <c r="A83" s="22" t="s">
        <v>233</v>
      </c>
      <c r="B83">
        <v>6</v>
      </c>
      <c r="C83" t="s">
        <v>19</v>
      </c>
      <c r="D83" t="s">
        <v>349</v>
      </c>
      <c r="E83">
        <v>23</v>
      </c>
      <c r="F83" t="s">
        <v>326</v>
      </c>
      <c r="G83" t="s">
        <v>332</v>
      </c>
      <c r="H83" s="1" t="s">
        <v>395</v>
      </c>
    </row>
    <row r="84" spans="1:8">
      <c r="A84" s="22" t="s">
        <v>233</v>
      </c>
      <c r="B84">
        <v>7</v>
      </c>
      <c r="C84" t="s">
        <v>19</v>
      </c>
      <c r="D84" t="s">
        <v>349</v>
      </c>
      <c r="E84">
        <v>20.399999999999999</v>
      </c>
      <c r="F84" t="s">
        <v>326</v>
      </c>
      <c r="G84" t="s">
        <v>332</v>
      </c>
      <c r="H84" s="1" t="s">
        <v>395</v>
      </c>
    </row>
    <row r="85" spans="1:8">
      <c r="A85" s="22" t="s">
        <v>233</v>
      </c>
      <c r="B85">
        <v>11</v>
      </c>
      <c r="C85" t="s">
        <v>19</v>
      </c>
      <c r="D85" t="s">
        <v>349</v>
      </c>
      <c r="E85">
        <v>20</v>
      </c>
      <c r="F85" t="s">
        <v>326</v>
      </c>
      <c r="G85" t="s">
        <v>332</v>
      </c>
      <c r="H85" s="1" t="s">
        <v>395</v>
      </c>
    </row>
    <row r="86" spans="1:8">
      <c r="A86" s="22" t="s">
        <v>233</v>
      </c>
      <c r="B86">
        <v>8</v>
      </c>
      <c r="C86" t="s">
        <v>19</v>
      </c>
      <c r="D86" t="s">
        <v>349</v>
      </c>
      <c r="E86">
        <v>19.2</v>
      </c>
      <c r="F86" t="s">
        <v>326</v>
      </c>
      <c r="G86" t="s">
        <v>332</v>
      </c>
      <c r="H86" s="1" t="s">
        <v>395</v>
      </c>
    </row>
    <row r="87" spans="1:8">
      <c r="A87" s="22" t="s">
        <v>233</v>
      </c>
      <c r="B87">
        <v>13</v>
      </c>
      <c r="C87" t="s">
        <v>19</v>
      </c>
      <c r="D87" t="s">
        <v>349</v>
      </c>
      <c r="E87">
        <v>16.100000000000001</v>
      </c>
      <c r="F87" t="s">
        <v>326</v>
      </c>
      <c r="G87" t="s">
        <v>332</v>
      </c>
      <c r="H87" s="1" t="s">
        <v>395</v>
      </c>
    </row>
    <row r="88" spans="1:8">
      <c r="A88" s="22" t="s">
        <v>233</v>
      </c>
      <c r="B88">
        <v>23</v>
      </c>
      <c r="C88" t="s">
        <v>19</v>
      </c>
      <c r="D88" t="s">
        <v>349</v>
      </c>
      <c r="E88">
        <v>14.4</v>
      </c>
      <c r="F88" t="s">
        <v>326</v>
      </c>
      <c r="G88" t="s">
        <v>332</v>
      </c>
      <c r="H88" s="1" t="s">
        <v>395</v>
      </c>
    </row>
    <row r="89" spans="1:8">
      <c r="A89" s="22" t="s">
        <v>233</v>
      </c>
      <c r="B89">
        <v>10.88</v>
      </c>
      <c r="C89" t="s">
        <v>19</v>
      </c>
      <c r="D89" t="s">
        <v>349</v>
      </c>
      <c r="E89">
        <v>24.6</v>
      </c>
      <c r="F89" t="s">
        <v>313</v>
      </c>
      <c r="G89" t="s">
        <v>333</v>
      </c>
      <c r="H89" s="1" t="s">
        <v>395</v>
      </c>
    </row>
    <row r="90" spans="1:8">
      <c r="A90" s="22" t="s">
        <v>233</v>
      </c>
      <c r="B90">
        <v>12.38</v>
      </c>
      <c r="C90" t="s">
        <v>19</v>
      </c>
      <c r="D90" t="s">
        <v>349</v>
      </c>
      <c r="E90">
        <v>21</v>
      </c>
      <c r="F90" t="s">
        <v>313</v>
      </c>
      <c r="G90" t="s">
        <v>333</v>
      </c>
      <c r="H90" s="1" t="s">
        <v>395</v>
      </c>
    </row>
    <row r="91" spans="1:8">
      <c r="A91" s="22" t="s">
        <v>233</v>
      </c>
      <c r="B91">
        <v>27.25</v>
      </c>
      <c r="C91" t="s">
        <v>19</v>
      </c>
      <c r="D91" t="s">
        <v>349</v>
      </c>
      <c r="E91">
        <v>12.1</v>
      </c>
      <c r="F91" t="s">
        <v>313</v>
      </c>
      <c r="G91" t="s">
        <v>333</v>
      </c>
      <c r="H91" s="1" t="s">
        <v>395</v>
      </c>
    </row>
    <row r="92" spans="1:8">
      <c r="A92" s="22" t="s">
        <v>233</v>
      </c>
      <c r="B92">
        <f>0.9+2.8+1.7+1.7</f>
        <v>7.1</v>
      </c>
      <c r="C92" t="s">
        <v>19</v>
      </c>
      <c r="D92" t="s">
        <v>349</v>
      </c>
      <c r="E92">
        <v>32.5</v>
      </c>
      <c r="F92" s="1" t="s">
        <v>346</v>
      </c>
      <c r="G92" t="s">
        <v>290</v>
      </c>
      <c r="H92" s="1" t="s">
        <v>395</v>
      </c>
    </row>
    <row r="93" spans="1:8">
      <c r="A93" s="22" t="s">
        <v>233</v>
      </c>
      <c r="B93">
        <f>1.3+3.5+2.7+1.7</f>
        <v>9.1999999999999993</v>
      </c>
      <c r="C93" t="s">
        <v>19</v>
      </c>
      <c r="D93" t="s">
        <v>349</v>
      </c>
      <c r="E93">
        <v>30</v>
      </c>
      <c r="F93" s="1" t="s">
        <v>346</v>
      </c>
      <c r="G93" t="s">
        <v>290</v>
      </c>
      <c r="H93" s="1" t="s">
        <v>395</v>
      </c>
    </row>
    <row r="94" spans="1:8">
      <c r="A94" s="22" t="s">
        <v>233</v>
      </c>
      <c r="B94">
        <f>1.5+3.6+2.7+2</f>
        <v>9.8000000000000007</v>
      </c>
      <c r="C94" t="s">
        <v>19</v>
      </c>
      <c r="D94" t="s">
        <v>349</v>
      </c>
      <c r="E94">
        <v>27.5</v>
      </c>
      <c r="F94" s="1" t="s">
        <v>346</v>
      </c>
      <c r="G94" t="s">
        <v>290</v>
      </c>
      <c r="H94" s="1" t="s">
        <v>395</v>
      </c>
    </row>
    <row r="95" spans="1:8">
      <c r="A95" s="22" t="s">
        <v>233</v>
      </c>
      <c r="B95">
        <f>2+3.7+3+2.6</f>
        <v>11.299999999999999</v>
      </c>
      <c r="C95" t="s">
        <v>19</v>
      </c>
      <c r="D95" t="s">
        <v>349</v>
      </c>
      <c r="E95">
        <v>25</v>
      </c>
      <c r="F95" s="1" t="s">
        <v>346</v>
      </c>
      <c r="G95" t="s">
        <v>290</v>
      </c>
      <c r="H95" s="1" t="s">
        <v>395</v>
      </c>
    </row>
    <row r="96" spans="1:8">
      <c r="A96" s="22" t="s">
        <v>233</v>
      </c>
      <c r="B96">
        <f>2+6.4+4.1+4</f>
        <v>16.5</v>
      </c>
      <c r="C96" t="s">
        <v>19</v>
      </c>
      <c r="D96" t="s">
        <v>349</v>
      </c>
      <c r="E96">
        <v>22.5</v>
      </c>
      <c r="F96" s="1" t="s">
        <v>346</v>
      </c>
      <c r="G96" t="s">
        <v>290</v>
      </c>
      <c r="H96" s="1" t="s">
        <v>395</v>
      </c>
    </row>
    <row r="97" spans="1:8">
      <c r="A97" s="22" t="s">
        <v>233</v>
      </c>
      <c r="B97">
        <f>2.9+11.5+5.2+4</f>
        <v>23.6</v>
      </c>
      <c r="C97" t="s">
        <v>19</v>
      </c>
      <c r="D97" t="s">
        <v>349</v>
      </c>
      <c r="E97">
        <v>20</v>
      </c>
      <c r="F97" s="1" t="s">
        <v>346</v>
      </c>
      <c r="G97" t="s">
        <v>290</v>
      </c>
      <c r="H97" s="1" t="s">
        <v>395</v>
      </c>
    </row>
    <row r="98" spans="1:8">
      <c r="A98" s="22" t="s">
        <v>233</v>
      </c>
      <c r="B98">
        <f>3.1+11.8+6.3+6.2</f>
        <v>27.4</v>
      </c>
      <c r="C98" t="s">
        <v>19</v>
      </c>
      <c r="D98" t="s">
        <v>349</v>
      </c>
      <c r="E98">
        <v>17.5</v>
      </c>
      <c r="F98" s="1" t="s">
        <v>346</v>
      </c>
      <c r="G98" t="s">
        <v>290</v>
      </c>
      <c r="H98" s="1" t="s">
        <v>395</v>
      </c>
    </row>
    <row r="99" spans="1:8">
      <c r="A99" s="22" t="s">
        <v>233</v>
      </c>
      <c r="B99">
        <f>4.1+13.2+7.5+7.8</f>
        <v>32.599999999999994</v>
      </c>
      <c r="C99" t="s">
        <v>19</v>
      </c>
      <c r="D99" t="s">
        <v>349</v>
      </c>
      <c r="E99">
        <v>15</v>
      </c>
      <c r="F99" s="1" t="s">
        <v>346</v>
      </c>
      <c r="G99" t="s">
        <v>290</v>
      </c>
      <c r="H99" s="1" t="s">
        <v>395</v>
      </c>
    </row>
    <row r="100" spans="1:8" s="1" customFormat="1"/>
    <row r="101" spans="1:8">
      <c r="A101" s="22" t="s">
        <v>233</v>
      </c>
      <c r="B101">
        <v>12</v>
      </c>
      <c r="C101" t="s">
        <v>19</v>
      </c>
      <c r="D101" t="s">
        <v>350</v>
      </c>
      <c r="E101">
        <v>27.8</v>
      </c>
      <c r="F101" t="s">
        <v>326</v>
      </c>
      <c r="G101" t="s">
        <v>332</v>
      </c>
      <c r="H101" s="1" t="s">
        <v>395</v>
      </c>
    </row>
    <row r="102" spans="1:8">
      <c r="A102" s="22" t="s">
        <v>233</v>
      </c>
      <c r="B102">
        <v>10</v>
      </c>
      <c r="C102" t="s">
        <v>19</v>
      </c>
      <c r="D102" t="s">
        <v>350</v>
      </c>
      <c r="E102">
        <v>23</v>
      </c>
      <c r="F102" t="s">
        <v>326</v>
      </c>
      <c r="G102" t="s">
        <v>332</v>
      </c>
      <c r="H102" s="1" t="s">
        <v>395</v>
      </c>
    </row>
    <row r="103" spans="1:8">
      <c r="A103" s="22" t="s">
        <v>233</v>
      </c>
      <c r="B103">
        <v>11</v>
      </c>
      <c r="C103" t="s">
        <v>19</v>
      </c>
      <c r="D103" t="s">
        <v>350</v>
      </c>
      <c r="E103">
        <v>20.399999999999999</v>
      </c>
      <c r="F103" t="s">
        <v>326</v>
      </c>
      <c r="G103" t="s">
        <v>332</v>
      </c>
      <c r="H103" s="1" t="s">
        <v>395</v>
      </c>
    </row>
    <row r="104" spans="1:8">
      <c r="A104" s="22" t="s">
        <v>233</v>
      </c>
      <c r="B104">
        <v>14</v>
      </c>
      <c r="C104" t="s">
        <v>19</v>
      </c>
      <c r="D104" t="s">
        <v>350</v>
      </c>
      <c r="E104">
        <v>20</v>
      </c>
      <c r="F104" t="s">
        <v>326</v>
      </c>
      <c r="G104" t="s">
        <v>332</v>
      </c>
      <c r="H104" s="1" t="s">
        <v>395</v>
      </c>
    </row>
    <row r="105" spans="1:8">
      <c r="A105" s="22" t="s">
        <v>233</v>
      </c>
      <c r="B105">
        <v>13</v>
      </c>
      <c r="C105" t="s">
        <v>19</v>
      </c>
      <c r="D105" t="s">
        <v>350</v>
      </c>
      <c r="E105">
        <v>19.2</v>
      </c>
      <c r="F105" t="s">
        <v>326</v>
      </c>
      <c r="G105" t="s">
        <v>332</v>
      </c>
      <c r="H105" s="1" t="s">
        <v>395</v>
      </c>
    </row>
    <row r="106" spans="1:8">
      <c r="A106" s="22" t="s">
        <v>233</v>
      </c>
      <c r="B106">
        <v>28</v>
      </c>
      <c r="C106" t="s">
        <v>19</v>
      </c>
      <c r="D106" t="s">
        <v>350</v>
      </c>
      <c r="E106">
        <v>16.100000000000001</v>
      </c>
      <c r="F106" t="s">
        <v>326</v>
      </c>
      <c r="G106" t="s">
        <v>332</v>
      </c>
      <c r="H106" s="1" t="s">
        <v>395</v>
      </c>
    </row>
    <row r="107" spans="1:8">
      <c r="A107" s="22" t="s">
        <v>233</v>
      </c>
      <c r="B107">
        <v>30</v>
      </c>
      <c r="C107" t="s">
        <v>19</v>
      </c>
      <c r="D107" t="s">
        <v>350</v>
      </c>
      <c r="E107">
        <v>14.4</v>
      </c>
      <c r="F107" t="s">
        <v>326</v>
      </c>
      <c r="G107" t="s">
        <v>332</v>
      </c>
      <c r="H107" s="1" t="s">
        <v>395</v>
      </c>
    </row>
    <row r="108" spans="1:8">
      <c r="A108" s="22" t="s">
        <v>233</v>
      </c>
      <c r="B108">
        <v>12.88</v>
      </c>
      <c r="C108" t="s">
        <v>19</v>
      </c>
      <c r="D108" t="s">
        <v>350</v>
      </c>
      <c r="E108">
        <v>24.6</v>
      </c>
      <c r="F108" t="s">
        <v>313</v>
      </c>
      <c r="G108" t="s">
        <v>333</v>
      </c>
      <c r="H108" s="1" t="s">
        <v>395</v>
      </c>
    </row>
    <row r="109" spans="1:8">
      <c r="A109" s="22" t="s">
        <v>233</v>
      </c>
      <c r="B109">
        <v>15.88</v>
      </c>
      <c r="C109" t="s">
        <v>19</v>
      </c>
      <c r="D109" t="s">
        <v>350</v>
      </c>
      <c r="E109">
        <v>21</v>
      </c>
      <c r="F109" t="s">
        <v>313</v>
      </c>
      <c r="G109" t="s">
        <v>333</v>
      </c>
      <c r="H109" s="1" t="s">
        <v>395</v>
      </c>
    </row>
    <row r="110" spans="1:8">
      <c r="A110" s="22" t="s">
        <v>233</v>
      </c>
      <c r="B110">
        <v>29.38</v>
      </c>
      <c r="C110" t="s">
        <v>19</v>
      </c>
      <c r="D110" t="s">
        <v>350</v>
      </c>
      <c r="E110">
        <v>12.1</v>
      </c>
      <c r="F110" t="s">
        <v>313</v>
      </c>
      <c r="G110" t="s">
        <v>333</v>
      </c>
      <c r="H110" s="1" t="s">
        <v>395</v>
      </c>
    </row>
    <row r="111" spans="1:8">
      <c r="A111" s="22" t="s">
        <v>233</v>
      </c>
      <c r="B111">
        <f>0.9+2.8+1.7+1.7+2.6</f>
        <v>9.6999999999999993</v>
      </c>
      <c r="C111" t="s">
        <v>19</v>
      </c>
      <c r="D111" t="s">
        <v>350</v>
      </c>
      <c r="E111">
        <v>32.5</v>
      </c>
      <c r="F111" s="1" t="s">
        <v>346</v>
      </c>
      <c r="G111" t="s">
        <v>290</v>
      </c>
      <c r="H111" s="1" t="s">
        <v>395</v>
      </c>
    </row>
    <row r="112" spans="1:8">
      <c r="A112" s="22" t="s">
        <v>233</v>
      </c>
      <c r="B112">
        <f>1.3+3.5+2.7+1.7+3.4</f>
        <v>12.6</v>
      </c>
      <c r="C112" t="s">
        <v>19</v>
      </c>
      <c r="D112" t="s">
        <v>350</v>
      </c>
      <c r="E112">
        <v>30</v>
      </c>
      <c r="F112" s="1" t="s">
        <v>346</v>
      </c>
      <c r="G112" t="s">
        <v>290</v>
      </c>
      <c r="H112" s="1" t="s">
        <v>395</v>
      </c>
    </row>
    <row r="113" spans="1:8">
      <c r="A113" s="22" t="s">
        <v>233</v>
      </c>
      <c r="B113">
        <f>1.5+3.6+2.7+2+4</f>
        <v>13.8</v>
      </c>
      <c r="C113" t="s">
        <v>19</v>
      </c>
      <c r="D113" t="s">
        <v>350</v>
      </c>
      <c r="E113">
        <v>27.5</v>
      </c>
      <c r="F113" s="1" t="s">
        <v>346</v>
      </c>
      <c r="G113" t="s">
        <v>290</v>
      </c>
      <c r="H113" s="1" t="s">
        <v>395</v>
      </c>
    </row>
    <row r="114" spans="1:8">
      <c r="A114" s="22" t="s">
        <v>233</v>
      </c>
      <c r="B114">
        <f>2+3.7+3+2.6+3.6</f>
        <v>14.899999999999999</v>
      </c>
      <c r="C114" t="s">
        <v>19</v>
      </c>
      <c r="D114" t="s">
        <v>350</v>
      </c>
      <c r="E114">
        <v>25</v>
      </c>
      <c r="F114" s="1" t="s">
        <v>346</v>
      </c>
      <c r="G114" t="s">
        <v>290</v>
      </c>
      <c r="H114" s="1" t="s">
        <v>395</v>
      </c>
    </row>
    <row r="115" spans="1:8">
      <c r="A115" s="22" t="s">
        <v>233</v>
      </c>
      <c r="B115">
        <f>2+6.4+4.1+4+3.9</f>
        <v>20.399999999999999</v>
      </c>
      <c r="C115" t="s">
        <v>19</v>
      </c>
      <c r="D115" t="s">
        <v>350</v>
      </c>
      <c r="E115">
        <v>22.5</v>
      </c>
      <c r="F115" s="1" t="s">
        <v>346</v>
      </c>
      <c r="G115" t="s">
        <v>290</v>
      </c>
      <c r="H115" s="1" t="s">
        <v>395</v>
      </c>
    </row>
    <row r="116" spans="1:8">
      <c r="A116" s="22" t="s">
        <v>233</v>
      </c>
      <c r="B116">
        <f>2.9+11.5+5.2+4+6.7</f>
        <v>30.3</v>
      </c>
      <c r="C116" t="s">
        <v>19</v>
      </c>
      <c r="D116" t="s">
        <v>350</v>
      </c>
      <c r="E116">
        <v>20</v>
      </c>
      <c r="F116" s="1" t="s">
        <v>346</v>
      </c>
      <c r="G116" t="s">
        <v>290</v>
      </c>
      <c r="H116" s="1" t="s">
        <v>395</v>
      </c>
    </row>
    <row r="117" spans="1:8">
      <c r="A117" s="22" t="s">
        <v>233</v>
      </c>
      <c r="B117">
        <f>3.1+11.8+6.3+6.2+8.3</f>
        <v>35.700000000000003</v>
      </c>
      <c r="C117" t="s">
        <v>19</v>
      </c>
      <c r="D117" t="s">
        <v>350</v>
      </c>
      <c r="E117">
        <v>17.5</v>
      </c>
      <c r="F117" s="1" t="s">
        <v>346</v>
      </c>
      <c r="G117" t="s">
        <v>290</v>
      </c>
      <c r="H117" s="1" t="s">
        <v>395</v>
      </c>
    </row>
    <row r="118" spans="1:8">
      <c r="A118" s="22" t="s">
        <v>233</v>
      </c>
      <c r="B118">
        <f>4.1+13.2+7.5+7.8+10.2</f>
        <v>42.8</v>
      </c>
      <c r="C118" t="s">
        <v>19</v>
      </c>
      <c r="D118" t="s">
        <v>350</v>
      </c>
      <c r="E118">
        <v>15</v>
      </c>
      <c r="F118" s="1" t="s">
        <v>346</v>
      </c>
      <c r="G118" t="s">
        <v>290</v>
      </c>
      <c r="H118" s="1" t="s">
        <v>395</v>
      </c>
    </row>
    <row r="119" spans="1:8" s="1" customFormat="1"/>
    <row r="120" spans="1:8">
      <c r="A120" s="22" t="s">
        <v>233</v>
      </c>
      <c r="B120">
        <v>17</v>
      </c>
      <c r="C120" t="s">
        <v>19</v>
      </c>
      <c r="D120" t="s">
        <v>351</v>
      </c>
      <c r="E120">
        <v>27.8</v>
      </c>
      <c r="F120" t="s">
        <v>326</v>
      </c>
      <c r="G120" t="s">
        <v>335</v>
      </c>
      <c r="H120" s="1" t="s">
        <v>395</v>
      </c>
    </row>
    <row r="121" spans="1:8">
      <c r="A121" s="22" t="s">
        <v>233</v>
      </c>
      <c r="B121">
        <v>12.5</v>
      </c>
      <c r="C121" t="s">
        <v>19</v>
      </c>
      <c r="D121" t="s">
        <v>351</v>
      </c>
      <c r="E121">
        <v>23</v>
      </c>
      <c r="F121" t="s">
        <v>326</v>
      </c>
      <c r="G121" t="s">
        <v>335</v>
      </c>
      <c r="H121" s="1" t="s">
        <v>395</v>
      </c>
    </row>
    <row r="122" spans="1:8">
      <c r="A122" s="22" t="s">
        <v>233</v>
      </c>
      <c r="B122">
        <v>19.5</v>
      </c>
      <c r="C122" t="s">
        <v>19</v>
      </c>
      <c r="D122" t="s">
        <v>351</v>
      </c>
      <c r="E122">
        <v>20.399999999999999</v>
      </c>
      <c r="F122" t="s">
        <v>326</v>
      </c>
      <c r="G122" t="s">
        <v>335</v>
      </c>
      <c r="H122" s="1" t="s">
        <v>395</v>
      </c>
    </row>
    <row r="123" spans="1:8">
      <c r="A123" s="22" t="s">
        <v>233</v>
      </c>
      <c r="B123">
        <v>24</v>
      </c>
      <c r="C123" t="s">
        <v>19</v>
      </c>
      <c r="D123" t="s">
        <v>351</v>
      </c>
      <c r="E123">
        <v>20</v>
      </c>
      <c r="F123" t="s">
        <v>326</v>
      </c>
      <c r="G123" t="s">
        <v>335</v>
      </c>
      <c r="H123" s="1" t="s">
        <v>395</v>
      </c>
    </row>
    <row r="124" spans="1:8">
      <c r="A124" s="22" t="s">
        <v>233</v>
      </c>
      <c r="B124">
        <v>18.5</v>
      </c>
      <c r="C124" t="s">
        <v>19</v>
      </c>
      <c r="D124" t="s">
        <v>351</v>
      </c>
      <c r="E124">
        <v>19.2</v>
      </c>
      <c r="F124" t="s">
        <v>326</v>
      </c>
      <c r="G124" t="s">
        <v>335</v>
      </c>
      <c r="H124" s="1" t="s">
        <v>395</v>
      </c>
    </row>
    <row r="125" spans="1:8">
      <c r="A125" s="22" t="s">
        <v>233</v>
      </c>
      <c r="B125">
        <v>41.5</v>
      </c>
      <c r="C125" t="s">
        <v>19</v>
      </c>
      <c r="D125" t="s">
        <v>351</v>
      </c>
      <c r="E125">
        <v>16.100000000000001</v>
      </c>
      <c r="F125" t="s">
        <v>326</v>
      </c>
      <c r="G125" t="s">
        <v>335</v>
      </c>
      <c r="H125" s="1" t="s">
        <v>395</v>
      </c>
    </row>
    <row r="126" spans="1:8">
      <c r="A126" s="22" t="s">
        <v>233</v>
      </c>
      <c r="B126">
        <v>41.5</v>
      </c>
      <c r="C126" t="s">
        <v>19</v>
      </c>
      <c r="D126" t="s">
        <v>351</v>
      </c>
      <c r="E126">
        <v>14.4</v>
      </c>
      <c r="F126" t="s">
        <v>326</v>
      </c>
      <c r="G126" t="s">
        <v>335</v>
      </c>
      <c r="H126" s="1" t="s">
        <v>395</v>
      </c>
    </row>
    <row r="127" spans="1:8">
      <c r="A127" s="22" t="s">
        <v>233</v>
      </c>
      <c r="B127">
        <f>0.9+2.8+1.7+1.7+2.6+1.2</f>
        <v>10.899999999999999</v>
      </c>
      <c r="C127" t="s">
        <v>19</v>
      </c>
      <c r="D127" t="s">
        <v>351</v>
      </c>
      <c r="E127">
        <v>32.5</v>
      </c>
      <c r="F127" s="1" t="s">
        <v>346</v>
      </c>
      <c r="G127" t="s">
        <v>290</v>
      </c>
      <c r="H127" s="1" t="s">
        <v>395</v>
      </c>
    </row>
    <row r="128" spans="1:8">
      <c r="A128" s="22" t="s">
        <v>233</v>
      </c>
      <c r="B128">
        <f>1.3+3.5+2.7+1.7+3.4+1.6</f>
        <v>14.2</v>
      </c>
      <c r="C128" t="s">
        <v>19</v>
      </c>
      <c r="D128" t="s">
        <v>351</v>
      </c>
      <c r="E128">
        <v>30</v>
      </c>
      <c r="F128" s="1" t="s">
        <v>346</v>
      </c>
      <c r="G128" t="s">
        <v>290</v>
      </c>
      <c r="H128" s="1" t="s">
        <v>395</v>
      </c>
    </row>
    <row r="129" spans="1:8">
      <c r="A129" s="22" t="s">
        <v>233</v>
      </c>
      <c r="B129">
        <f>1.5+3.6+2.7+2+4+1.5</f>
        <v>15.3</v>
      </c>
      <c r="C129" t="s">
        <v>19</v>
      </c>
      <c r="D129" t="s">
        <v>351</v>
      </c>
      <c r="E129">
        <v>27.5</v>
      </c>
      <c r="F129" s="1" t="s">
        <v>346</v>
      </c>
      <c r="G129" t="s">
        <v>290</v>
      </c>
      <c r="H129" s="1" t="s">
        <v>395</v>
      </c>
    </row>
    <row r="130" spans="1:8">
      <c r="A130" s="22" t="s">
        <v>233</v>
      </c>
      <c r="B130">
        <f>2+3.7+3+2.6+3.6+2.1</f>
        <v>17</v>
      </c>
      <c r="C130" t="s">
        <v>19</v>
      </c>
      <c r="D130" t="s">
        <v>351</v>
      </c>
      <c r="E130">
        <v>25</v>
      </c>
      <c r="F130" s="1" t="s">
        <v>346</v>
      </c>
      <c r="G130" t="s">
        <v>290</v>
      </c>
      <c r="H130" s="1" t="s">
        <v>395</v>
      </c>
    </row>
    <row r="131" spans="1:8">
      <c r="A131" s="22" t="s">
        <v>233</v>
      </c>
      <c r="B131">
        <f>2+6.4+4.1+4+3.9+2.7</f>
        <v>23.099999999999998</v>
      </c>
      <c r="C131" t="s">
        <v>19</v>
      </c>
      <c r="D131" t="s">
        <v>351</v>
      </c>
      <c r="E131">
        <v>22.5</v>
      </c>
      <c r="F131" s="1" t="s">
        <v>346</v>
      </c>
      <c r="G131" t="s">
        <v>290</v>
      </c>
      <c r="H131" s="1" t="s">
        <v>395</v>
      </c>
    </row>
    <row r="132" spans="1:8">
      <c r="A132" s="22" t="s">
        <v>233</v>
      </c>
      <c r="B132">
        <f>2.9+11.5+5.2+4+6.7+3.7</f>
        <v>34</v>
      </c>
      <c r="C132" t="s">
        <v>19</v>
      </c>
      <c r="D132" t="s">
        <v>351</v>
      </c>
      <c r="E132">
        <v>20</v>
      </c>
      <c r="F132" s="1" t="s">
        <v>346</v>
      </c>
      <c r="G132" t="s">
        <v>290</v>
      </c>
      <c r="H132" s="1" t="s">
        <v>395</v>
      </c>
    </row>
    <row r="133" spans="1:8">
      <c r="A133" s="22" t="s">
        <v>233</v>
      </c>
      <c r="B133">
        <f>3.1+11.8+6.3+6.2+8.3+4.4</f>
        <v>40.1</v>
      </c>
      <c r="C133" t="s">
        <v>19</v>
      </c>
      <c r="D133" t="s">
        <v>351</v>
      </c>
      <c r="E133">
        <v>17.5</v>
      </c>
      <c r="F133" s="1" t="s">
        <v>346</v>
      </c>
      <c r="G133" t="s">
        <v>290</v>
      </c>
      <c r="H133" s="1" t="s">
        <v>395</v>
      </c>
    </row>
    <row r="134" spans="1:8">
      <c r="A134" s="22" t="s">
        <v>233</v>
      </c>
      <c r="B134">
        <f>4.1+13.2+7.5+7.8+10.2+6.4</f>
        <v>49.199999999999996</v>
      </c>
      <c r="C134" t="s">
        <v>19</v>
      </c>
      <c r="D134" t="s">
        <v>351</v>
      </c>
      <c r="E134">
        <v>15</v>
      </c>
      <c r="F134" s="1" t="s">
        <v>346</v>
      </c>
      <c r="G134" t="s">
        <v>290</v>
      </c>
      <c r="H134" s="1" t="s">
        <v>395</v>
      </c>
    </row>
    <row r="135" spans="1:8" s="1" customFormat="1"/>
    <row r="136" spans="1:8">
      <c r="A136" t="s">
        <v>354</v>
      </c>
      <c r="B136" s="26">
        <v>65.502625280000004</v>
      </c>
      <c r="C136" t="s">
        <v>19</v>
      </c>
      <c r="D136" t="s">
        <v>373</v>
      </c>
      <c r="E136">
        <v>15</v>
      </c>
      <c r="F136" s="1" t="s">
        <v>346</v>
      </c>
      <c r="G136" s="1" t="s">
        <v>352</v>
      </c>
      <c r="H136" s="1"/>
    </row>
    <row r="137" spans="1:8">
      <c r="A137" t="s">
        <v>354</v>
      </c>
      <c r="B137" s="26">
        <v>56.989283479999997</v>
      </c>
      <c r="C137" t="s">
        <v>19</v>
      </c>
      <c r="D137" t="s">
        <v>373</v>
      </c>
      <c r="E137">
        <v>17.5</v>
      </c>
      <c r="F137" s="1" t="s">
        <v>346</v>
      </c>
      <c r="G137" s="1" t="s">
        <v>352</v>
      </c>
      <c r="H137" s="1"/>
    </row>
    <row r="138" spans="1:8">
      <c r="A138" t="s">
        <v>354</v>
      </c>
      <c r="B138" s="26">
        <v>30.324374939999998</v>
      </c>
      <c r="C138" t="s">
        <v>19</v>
      </c>
      <c r="D138" t="s">
        <v>373</v>
      </c>
      <c r="E138">
        <v>20</v>
      </c>
      <c r="F138" s="1" t="s">
        <v>346</v>
      </c>
      <c r="G138" s="1" t="s">
        <v>352</v>
      </c>
      <c r="H138" s="1"/>
    </row>
    <row r="139" spans="1:8">
      <c r="A139" t="s">
        <v>354</v>
      </c>
      <c r="B139" s="26">
        <v>27.522236410000001</v>
      </c>
      <c r="C139" t="s">
        <v>19</v>
      </c>
      <c r="D139" t="s">
        <v>373</v>
      </c>
      <c r="E139">
        <v>22.5</v>
      </c>
      <c r="F139" s="1" t="s">
        <v>346</v>
      </c>
      <c r="G139" s="1" t="s">
        <v>352</v>
      </c>
      <c r="H139" s="1"/>
    </row>
    <row r="140" spans="1:8">
      <c r="A140" t="s">
        <v>354</v>
      </c>
      <c r="B140" s="26">
        <v>18.33664988</v>
      </c>
      <c r="C140" t="s">
        <v>19</v>
      </c>
      <c r="D140" t="s">
        <v>373</v>
      </c>
      <c r="E140">
        <v>25</v>
      </c>
      <c r="F140" s="1" t="s">
        <v>346</v>
      </c>
      <c r="G140" s="1" t="s">
        <v>352</v>
      </c>
      <c r="H140" s="1"/>
    </row>
    <row r="141" spans="1:8">
      <c r="A141" t="s">
        <v>354</v>
      </c>
      <c r="B141" s="26">
        <v>17.552204530000001</v>
      </c>
      <c r="C141" t="s">
        <v>19</v>
      </c>
      <c r="D141" t="s">
        <v>373</v>
      </c>
      <c r="E141">
        <v>27.5</v>
      </c>
      <c r="F141" s="1" t="s">
        <v>346</v>
      </c>
      <c r="G141" s="1" t="s">
        <v>352</v>
      </c>
      <c r="H141" s="1"/>
    </row>
    <row r="142" spans="1:8">
      <c r="A142" t="s">
        <v>354</v>
      </c>
      <c r="B142" s="26">
        <v>12.229148260000001</v>
      </c>
      <c r="C142" t="s">
        <v>19</v>
      </c>
      <c r="D142" t="s">
        <v>373</v>
      </c>
      <c r="E142">
        <v>30</v>
      </c>
      <c r="F142" s="1" t="s">
        <v>346</v>
      </c>
      <c r="G142" s="1" t="s">
        <v>352</v>
      </c>
      <c r="H142" s="1"/>
    </row>
    <row r="143" spans="1:8">
      <c r="A143" t="s">
        <v>354</v>
      </c>
      <c r="B143" s="26">
        <v>0.48907969000000001</v>
      </c>
      <c r="C143" t="s">
        <v>19</v>
      </c>
      <c r="D143" t="s">
        <v>373</v>
      </c>
      <c r="E143">
        <v>32.5</v>
      </c>
      <c r="F143" s="1" t="s">
        <v>346</v>
      </c>
      <c r="G143" s="1" t="s">
        <v>352</v>
      </c>
      <c r="H143" s="1"/>
    </row>
    <row r="144" spans="1:8">
      <c r="A144" t="s">
        <v>355</v>
      </c>
      <c r="B144" s="26">
        <v>73.87307912</v>
      </c>
      <c r="C144" t="s">
        <v>19</v>
      </c>
      <c r="D144" t="s">
        <v>374</v>
      </c>
      <c r="E144">
        <v>15</v>
      </c>
      <c r="F144" s="1" t="s">
        <v>346</v>
      </c>
      <c r="G144" s="1" t="s">
        <v>352</v>
      </c>
      <c r="H144" s="1"/>
    </row>
    <row r="145" spans="1:8">
      <c r="A145" t="s">
        <v>355</v>
      </c>
      <c r="B145" s="26">
        <v>66.539042530000003</v>
      </c>
      <c r="C145" t="s">
        <v>19</v>
      </c>
      <c r="D145" t="s">
        <v>374</v>
      </c>
      <c r="E145">
        <v>17.5</v>
      </c>
      <c r="F145" s="1" t="s">
        <v>346</v>
      </c>
      <c r="G145" s="1" t="s">
        <v>352</v>
      </c>
      <c r="H145" s="1"/>
    </row>
    <row r="146" spans="1:8">
      <c r="A146" t="s">
        <v>355</v>
      </c>
      <c r="B146" s="26">
        <v>57.686701419999999</v>
      </c>
      <c r="C146" t="s">
        <v>19</v>
      </c>
      <c r="D146" t="s">
        <v>374</v>
      </c>
      <c r="E146">
        <v>20</v>
      </c>
      <c r="F146" s="1" t="s">
        <v>346</v>
      </c>
      <c r="G146" s="1" t="s">
        <v>352</v>
      </c>
      <c r="H146" s="1"/>
    </row>
    <row r="147" spans="1:8">
      <c r="A147" t="s">
        <v>355</v>
      </c>
      <c r="B147" s="26">
        <v>32.529548630000001</v>
      </c>
      <c r="C147" t="s">
        <v>19</v>
      </c>
      <c r="D147" t="s">
        <v>374</v>
      </c>
      <c r="E147">
        <v>22.5</v>
      </c>
      <c r="F147" s="1" t="s">
        <v>346</v>
      </c>
      <c r="G147" s="1" t="s">
        <v>352</v>
      </c>
      <c r="H147" s="1"/>
    </row>
    <row r="148" spans="1:8">
      <c r="A148" t="s">
        <v>355</v>
      </c>
      <c r="B148" s="26">
        <v>22.50461516</v>
      </c>
      <c r="C148" t="s">
        <v>19</v>
      </c>
      <c r="D148" t="s">
        <v>374</v>
      </c>
      <c r="E148">
        <v>25</v>
      </c>
      <c r="F148" s="1" t="s">
        <v>346</v>
      </c>
      <c r="G148" s="1" t="s">
        <v>352</v>
      </c>
      <c r="H148" s="1"/>
    </row>
    <row r="149" spans="1:8">
      <c r="A149" t="s">
        <v>355</v>
      </c>
      <c r="B149" s="26">
        <v>20.541823569999998</v>
      </c>
      <c r="C149" t="s">
        <v>19</v>
      </c>
      <c r="D149" t="s">
        <v>374</v>
      </c>
      <c r="E149">
        <v>27.5</v>
      </c>
      <c r="F149" s="1" t="s">
        <v>346</v>
      </c>
      <c r="G149" s="1" t="s">
        <v>352</v>
      </c>
      <c r="H149" s="1"/>
    </row>
    <row r="150" spans="1:8">
      <c r="A150" t="s">
        <v>355</v>
      </c>
      <c r="B150" s="26">
        <v>19.923521449999999</v>
      </c>
      <c r="C150" t="s">
        <v>19</v>
      </c>
      <c r="D150" t="s">
        <v>374</v>
      </c>
      <c r="E150">
        <v>30</v>
      </c>
      <c r="F150" s="1" t="s">
        <v>346</v>
      </c>
      <c r="G150" s="1" t="s">
        <v>352</v>
      </c>
      <c r="H150" s="1"/>
    </row>
    <row r="151" spans="1:8">
      <c r="A151" t="s">
        <v>355</v>
      </c>
      <c r="B151" s="26">
        <v>0.5</v>
      </c>
      <c r="C151" t="s">
        <v>19</v>
      </c>
      <c r="D151" t="s">
        <v>374</v>
      </c>
      <c r="E151">
        <v>32.5</v>
      </c>
      <c r="F151" s="1" t="s">
        <v>346</v>
      </c>
      <c r="G151" s="1" t="s">
        <v>352</v>
      </c>
      <c r="H151" s="1"/>
    </row>
    <row r="152" spans="1:8">
      <c r="H152" s="1"/>
    </row>
    <row r="153" spans="1:8">
      <c r="A153" s="21" t="s">
        <v>233</v>
      </c>
      <c r="B153">
        <v>20.55</v>
      </c>
      <c r="C153" t="s">
        <v>34</v>
      </c>
      <c r="D153" s="1" t="s">
        <v>375</v>
      </c>
      <c r="E153">
        <v>16</v>
      </c>
      <c r="F153" t="s">
        <v>222</v>
      </c>
      <c r="G153" t="s">
        <v>227</v>
      </c>
      <c r="H153" s="1" t="s">
        <v>395</v>
      </c>
    </row>
    <row r="154" spans="1:8">
      <c r="A154" s="21" t="s">
        <v>233</v>
      </c>
      <c r="B154">
        <v>13.13</v>
      </c>
      <c r="C154" t="s">
        <v>34</v>
      </c>
      <c r="D154" s="1" t="s">
        <v>375</v>
      </c>
      <c r="E154">
        <v>20</v>
      </c>
      <c r="F154" t="s">
        <v>222</v>
      </c>
      <c r="G154" t="s">
        <v>227</v>
      </c>
      <c r="H154" s="1" t="s">
        <v>395</v>
      </c>
    </row>
    <row r="155" spans="1:8">
      <c r="A155" s="21" t="s">
        <v>233</v>
      </c>
      <c r="B155">
        <v>9.9499999999999993</v>
      </c>
      <c r="C155" t="s">
        <v>34</v>
      </c>
      <c r="D155" s="1" t="s">
        <v>375</v>
      </c>
      <c r="E155">
        <v>24</v>
      </c>
      <c r="F155" t="s">
        <v>222</v>
      </c>
      <c r="G155" t="s">
        <v>227</v>
      </c>
      <c r="H155" s="1" t="s">
        <v>395</v>
      </c>
    </row>
    <row r="156" spans="1:8">
      <c r="A156" s="21" t="s">
        <v>233</v>
      </c>
      <c r="B156">
        <v>8.92</v>
      </c>
      <c r="C156" t="s">
        <v>34</v>
      </c>
      <c r="D156" s="1" t="s">
        <v>375</v>
      </c>
      <c r="E156">
        <v>27</v>
      </c>
      <c r="F156" t="s">
        <v>222</v>
      </c>
      <c r="G156" t="s">
        <v>227</v>
      </c>
      <c r="H156" s="1" t="s">
        <v>395</v>
      </c>
    </row>
    <row r="157" spans="1:8">
      <c r="A157" s="21" t="s">
        <v>233</v>
      </c>
      <c r="B157">
        <v>8.27</v>
      </c>
      <c r="C157" t="s">
        <v>34</v>
      </c>
      <c r="D157" s="1" t="s">
        <v>375</v>
      </c>
      <c r="E157">
        <v>31</v>
      </c>
      <c r="F157" t="s">
        <v>222</v>
      </c>
      <c r="G157" t="s">
        <v>227</v>
      </c>
      <c r="H157" s="1" t="s">
        <v>395</v>
      </c>
    </row>
    <row r="158" spans="1:8">
      <c r="A158" s="21" t="s">
        <v>233</v>
      </c>
      <c r="B158">
        <v>21.37</v>
      </c>
      <c r="C158" t="s">
        <v>34</v>
      </c>
      <c r="D158" s="1" t="s">
        <v>375</v>
      </c>
      <c r="E158">
        <v>16</v>
      </c>
      <c r="F158" t="s">
        <v>222</v>
      </c>
      <c r="G158" t="s">
        <v>228</v>
      </c>
      <c r="H158" s="1" t="s">
        <v>395</v>
      </c>
    </row>
    <row r="159" spans="1:8">
      <c r="A159" s="21" t="s">
        <v>233</v>
      </c>
      <c r="B159">
        <v>14.14</v>
      </c>
      <c r="C159" t="s">
        <v>34</v>
      </c>
      <c r="D159" s="1" t="s">
        <v>375</v>
      </c>
      <c r="E159">
        <v>20</v>
      </c>
      <c r="F159" t="s">
        <v>222</v>
      </c>
      <c r="G159" t="s">
        <v>228</v>
      </c>
      <c r="H159" s="1" t="s">
        <v>395</v>
      </c>
    </row>
    <row r="160" spans="1:8">
      <c r="A160" s="21" t="s">
        <v>233</v>
      </c>
      <c r="B160">
        <v>10.99</v>
      </c>
      <c r="C160" t="s">
        <v>34</v>
      </c>
      <c r="D160" s="1" t="s">
        <v>375</v>
      </c>
      <c r="E160">
        <v>24</v>
      </c>
      <c r="F160" t="s">
        <v>222</v>
      </c>
      <c r="G160" t="s">
        <v>228</v>
      </c>
      <c r="H160" s="1" t="s">
        <v>395</v>
      </c>
    </row>
    <row r="161" spans="1:12">
      <c r="A161" s="21" t="s">
        <v>233</v>
      </c>
      <c r="B161">
        <v>10.67</v>
      </c>
      <c r="C161" t="s">
        <v>34</v>
      </c>
      <c r="D161" s="1" t="s">
        <v>375</v>
      </c>
      <c r="E161">
        <v>27</v>
      </c>
      <c r="F161" t="s">
        <v>222</v>
      </c>
      <c r="G161" t="s">
        <v>228</v>
      </c>
      <c r="H161" s="1" t="s">
        <v>395</v>
      </c>
    </row>
    <row r="162" spans="1:12">
      <c r="A162" s="21" t="s">
        <v>233</v>
      </c>
      <c r="B162">
        <v>9.5</v>
      </c>
      <c r="C162" t="s">
        <v>34</v>
      </c>
      <c r="D162" s="1" t="s">
        <v>375</v>
      </c>
      <c r="E162">
        <v>31</v>
      </c>
      <c r="F162" t="s">
        <v>222</v>
      </c>
      <c r="G162" t="s">
        <v>228</v>
      </c>
      <c r="H162" s="1" t="s">
        <v>395</v>
      </c>
    </row>
    <row r="163" spans="1:12">
      <c r="A163" s="21" t="s">
        <v>233</v>
      </c>
      <c r="B163">
        <v>21.38</v>
      </c>
      <c r="C163" t="s">
        <v>34</v>
      </c>
      <c r="D163" s="1" t="s">
        <v>375</v>
      </c>
      <c r="E163">
        <v>16</v>
      </c>
      <c r="F163" t="s">
        <v>222</v>
      </c>
      <c r="G163" t="s">
        <v>229</v>
      </c>
      <c r="H163" s="1" t="s">
        <v>395</v>
      </c>
    </row>
    <row r="164" spans="1:12">
      <c r="A164" s="21" t="s">
        <v>233</v>
      </c>
      <c r="B164">
        <v>13.63</v>
      </c>
      <c r="C164" t="s">
        <v>34</v>
      </c>
      <c r="D164" s="1" t="s">
        <v>375</v>
      </c>
      <c r="E164">
        <v>20</v>
      </c>
      <c r="F164" t="s">
        <v>222</v>
      </c>
      <c r="G164" t="s">
        <v>229</v>
      </c>
      <c r="H164" s="1" t="s">
        <v>395</v>
      </c>
    </row>
    <row r="165" spans="1:12">
      <c r="A165" s="21" t="s">
        <v>233</v>
      </c>
      <c r="B165">
        <v>10.199999999999999</v>
      </c>
      <c r="C165" t="s">
        <v>34</v>
      </c>
      <c r="D165" s="1" t="s">
        <v>375</v>
      </c>
      <c r="E165">
        <v>24</v>
      </c>
      <c r="F165" t="s">
        <v>222</v>
      </c>
      <c r="G165" t="s">
        <v>229</v>
      </c>
      <c r="H165" s="1" t="s">
        <v>395</v>
      </c>
    </row>
    <row r="166" spans="1:12">
      <c r="A166" s="21" t="s">
        <v>233</v>
      </c>
      <c r="B166">
        <v>8.8800000000000008</v>
      </c>
      <c r="C166" t="s">
        <v>34</v>
      </c>
      <c r="D166" s="1" t="s">
        <v>375</v>
      </c>
      <c r="E166">
        <v>27</v>
      </c>
      <c r="F166" t="s">
        <v>222</v>
      </c>
      <c r="G166" t="s">
        <v>229</v>
      </c>
      <c r="H166" s="1" t="s">
        <v>395</v>
      </c>
    </row>
    <row r="167" spans="1:12">
      <c r="A167" s="21" t="s">
        <v>233</v>
      </c>
      <c r="B167">
        <v>8.3000000000000007</v>
      </c>
      <c r="C167" t="s">
        <v>34</v>
      </c>
      <c r="D167" s="1" t="s">
        <v>375</v>
      </c>
      <c r="E167">
        <v>31</v>
      </c>
      <c r="F167" t="s">
        <v>222</v>
      </c>
      <c r="G167" t="s">
        <v>229</v>
      </c>
      <c r="H167" s="1" t="s">
        <v>395</v>
      </c>
    </row>
    <row r="168" spans="1:12">
      <c r="A168" s="21" t="s">
        <v>233</v>
      </c>
      <c r="B168">
        <v>22.35</v>
      </c>
      <c r="C168" t="s">
        <v>34</v>
      </c>
      <c r="D168" s="1" t="s">
        <v>375</v>
      </c>
      <c r="E168">
        <v>16</v>
      </c>
      <c r="F168" t="s">
        <v>222</v>
      </c>
      <c r="G168" t="s">
        <v>230</v>
      </c>
      <c r="H168" s="1" t="s">
        <v>395</v>
      </c>
    </row>
    <row r="169" spans="1:12">
      <c r="A169" s="21" t="s">
        <v>233</v>
      </c>
      <c r="B169">
        <v>14.34</v>
      </c>
      <c r="C169" t="s">
        <v>34</v>
      </c>
      <c r="D169" s="1" t="s">
        <v>375</v>
      </c>
      <c r="E169">
        <v>20</v>
      </c>
      <c r="F169" t="s">
        <v>222</v>
      </c>
      <c r="G169" t="s">
        <v>230</v>
      </c>
      <c r="H169" s="1" t="s">
        <v>395</v>
      </c>
    </row>
    <row r="170" spans="1:12">
      <c r="A170" s="21" t="s">
        <v>233</v>
      </c>
      <c r="B170">
        <v>10.65</v>
      </c>
      <c r="C170" t="s">
        <v>34</v>
      </c>
      <c r="D170" s="1" t="s">
        <v>375</v>
      </c>
      <c r="E170">
        <v>24</v>
      </c>
      <c r="F170" t="s">
        <v>222</v>
      </c>
      <c r="G170" t="s">
        <v>230</v>
      </c>
      <c r="H170" s="1" t="s">
        <v>395</v>
      </c>
    </row>
    <row r="171" spans="1:12">
      <c r="A171" s="21" t="s">
        <v>233</v>
      </c>
      <c r="B171">
        <v>9.76</v>
      </c>
      <c r="C171" t="s">
        <v>34</v>
      </c>
      <c r="D171" s="1" t="s">
        <v>375</v>
      </c>
      <c r="E171">
        <v>27</v>
      </c>
      <c r="F171" t="s">
        <v>222</v>
      </c>
      <c r="G171" t="s">
        <v>230</v>
      </c>
      <c r="H171" s="1" t="s">
        <v>395</v>
      </c>
    </row>
    <row r="172" spans="1:12">
      <c r="A172" s="21" t="s">
        <v>233</v>
      </c>
      <c r="B172">
        <v>9.5</v>
      </c>
      <c r="C172" t="s">
        <v>34</v>
      </c>
      <c r="D172" s="1" t="s">
        <v>375</v>
      </c>
      <c r="E172">
        <v>31</v>
      </c>
      <c r="F172" t="s">
        <v>222</v>
      </c>
      <c r="G172" t="s">
        <v>230</v>
      </c>
      <c r="H172" s="1" t="s">
        <v>395</v>
      </c>
    </row>
    <row r="174" spans="1:12">
      <c r="A174" s="22" t="s">
        <v>109</v>
      </c>
      <c r="B174" s="1">
        <v>3.41</v>
      </c>
      <c r="C174" s="22" t="s">
        <v>39</v>
      </c>
      <c r="D174" s="1" t="s">
        <v>282</v>
      </c>
      <c r="E174" s="1">
        <v>21</v>
      </c>
      <c r="F174" s="1" t="s">
        <v>270</v>
      </c>
      <c r="G174" s="1" t="s">
        <v>278</v>
      </c>
      <c r="H174" s="1" t="s">
        <v>389</v>
      </c>
    </row>
    <row r="175" spans="1:12">
      <c r="A175" s="22" t="s">
        <v>109</v>
      </c>
      <c r="B175">
        <v>3.43</v>
      </c>
      <c r="C175" s="22" t="s">
        <v>39</v>
      </c>
      <c r="D175" t="s">
        <v>251</v>
      </c>
      <c r="E175">
        <v>25</v>
      </c>
      <c r="F175" t="s">
        <v>41</v>
      </c>
      <c r="H175" t="s">
        <v>391</v>
      </c>
      <c r="L175" s="10"/>
    </row>
    <row r="176" spans="1:12">
      <c r="A176" s="22" t="s">
        <v>109</v>
      </c>
      <c r="B176">
        <v>3.23</v>
      </c>
      <c r="C176" s="22" t="s">
        <v>39</v>
      </c>
      <c r="D176" t="s">
        <v>251</v>
      </c>
      <c r="E176">
        <v>30</v>
      </c>
      <c r="F176" t="s">
        <v>41</v>
      </c>
      <c r="H176" t="s">
        <v>391</v>
      </c>
      <c r="L176" s="10"/>
    </row>
    <row r="177" spans="1:12">
      <c r="A177" s="22" t="s">
        <v>109</v>
      </c>
      <c r="B177">
        <v>3.02</v>
      </c>
      <c r="C177" s="22" t="s">
        <v>39</v>
      </c>
      <c r="D177" t="s">
        <v>251</v>
      </c>
      <c r="E177">
        <v>37</v>
      </c>
      <c r="F177" t="s">
        <v>41</v>
      </c>
      <c r="H177" t="s">
        <v>391</v>
      </c>
      <c r="L177" s="10"/>
    </row>
    <row r="178" spans="1:12">
      <c r="A178" s="22" t="s">
        <v>109</v>
      </c>
      <c r="B178">
        <v>3.83</v>
      </c>
      <c r="C178" s="22" t="s">
        <v>39</v>
      </c>
      <c r="D178" t="s">
        <v>251</v>
      </c>
      <c r="E178" s="4">
        <v>20</v>
      </c>
      <c r="F178" t="s">
        <v>234</v>
      </c>
      <c r="G178" s="4" t="s">
        <v>237</v>
      </c>
      <c r="H178" s="4" t="s">
        <v>385</v>
      </c>
    </row>
    <row r="179" spans="1:12" s="1" customFormat="1">
      <c r="A179" s="22" t="s">
        <v>109</v>
      </c>
      <c r="B179" s="1">
        <v>3.58</v>
      </c>
      <c r="C179" s="22" t="s">
        <v>39</v>
      </c>
      <c r="D179" s="1" t="s">
        <v>251</v>
      </c>
      <c r="E179" s="4">
        <v>20</v>
      </c>
      <c r="F179" s="1" t="s">
        <v>234</v>
      </c>
      <c r="G179" s="21" t="s">
        <v>238</v>
      </c>
      <c r="H179" s="4" t="s">
        <v>385</v>
      </c>
    </row>
    <row r="180" spans="1:12">
      <c r="A180" s="22" t="s">
        <v>109</v>
      </c>
      <c r="B180">
        <v>3.53</v>
      </c>
      <c r="C180" s="22" t="s">
        <v>39</v>
      </c>
      <c r="D180" t="s">
        <v>251</v>
      </c>
      <c r="E180">
        <v>20</v>
      </c>
      <c r="F180" t="s">
        <v>64</v>
      </c>
      <c r="G180" t="s">
        <v>386</v>
      </c>
      <c r="H180" s="4" t="s">
        <v>392</v>
      </c>
      <c r="L180" s="10"/>
    </row>
    <row r="181" spans="1:12">
      <c r="A181" s="22" t="s">
        <v>109</v>
      </c>
      <c r="B181">
        <v>3.35</v>
      </c>
      <c r="C181" s="22" t="s">
        <v>39</v>
      </c>
      <c r="D181" t="s">
        <v>251</v>
      </c>
      <c r="E181">
        <v>25</v>
      </c>
      <c r="F181" t="s">
        <v>64</v>
      </c>
      <c r="G181" t="s">
        <v>386</v>
      </c>
      <c r="H181" s="4" t="s">
        <v>392</v>
      </c>
      <c r="L181" s="10"/>
    </row>
    <row r="182" spans="1:12">
      <c r="A182" s="22" t="s">
        <v>109</v>
      </c>
      <c r="B182">
        <v>3.14</v>
      </c>
      <c r="C182" s="22" t="s">
        <v>39</v>
      </c>
      <c r="D182" t="s">
        <v>251</v>
      </c>
      <c r="E182">
        <v>35</v>
      </c>
      <c r="F182" t="s">
        <v>64</v>
      </c>
      <c r="G182" t="s">
        <v>386</v>
      </c>
      <c r="H182" s="4" t="s">
        <v>392</v>
      </c>
      <c r="L182" s="10"/>
    </row>
    <row r="183" spans="1:12">
      <c r="A183" s="22" t="s">
        <v>109</v>
      </c>
      <c r="B183">
        <v>3.71</v>
      </c>
      <c r="C183" s="22" t="s">
        <v>39</v>
      </c>
      <c r="D183" t="s">
        <v>251</v>
      </c>
      <c r="E183">
        <v>20</v>
      </c>
      <c r="F183" t="s">
        <v>64</v>
      </c>
      <c r="G183" t="s">
        <v>387</v>
      </c>
      <c r="H183" s="4" t="s">
        <v>392</v>
      </c>
      <c r="L183" s="10"/>
    </row>
    <row r="184" spans="1:12">
      <c r="A184" s="22" t="s">
        <v>109</v>
      </c>
      <c r="B184">
        <v>3.27</v>
      </c>
      <c r="C184" s="22" t="s">
        <v>39</v>
      </c>
      <c r="D184" t="s">
        <v>251</v>
      </c>
      <c r="E184">
        <v>25</v>
      </c>
      <c r="F184" t="s">
        <v>64</v>
      </c>
      <c r="G184" t="s">
        <v>387</v>
      </c>
      <c r="H184" s="4" t="s">
        <v>392</v>
      </c>
      <c r="L184" s="10"/>
    </row>
    <row r="185" spans="1:12">
      <c r="A185" s="22" t="s">
        <v>109</v>
      </c>
      <c r="B185">
        <v>3.13</v>
      </c>
      <c r="C185" s="22" t="s">
        <v>39</v>
      </c>
      <c r="D185" t="s">
        <v>251</v>
      </c>
      <c r="E185">
        <v>35</v>
      </c>
      <c r="F185" t="s">
        <v>64</v>
      </c>
      <c r="G185" t="s">
        <v>387</v>
      </c>
      <c r="H185" s="4" t="s">
        <v>392</v>
      </c>
      <c r="L185" s="10"/>
    </row>
    <row r="186" spans="1:12">
      <c r="A186" s="22" t="s">
        <v>400</v>
      </c>
      <c r="B186">
        <v>2.84</v>
      </c>
      <c r="C186" s="22" t="s">
        <v>39</v>
      </c>
      <c r="D186" t="s">
        <v>252</v>
      </c>
      <c r="E186">
        <v>25</v>
      </c>
      <c r="F186" t="s">
        <v>41</v>
      </c>
      <c r="H186" s="1" t="s">
        <v>388</v>
      </c>
      <c r="L186" s="10"/>
    </row>
    <row r="187" spans="1:12">
      <c r="A187" s="22" t="s">
        <v>400</v>
      </c>
      <c r="B187">
        <v>2.76</v>
      </c>
      <c r="C187" s="22" t="s">
        <v>39</v>
      </c>
      <c r="D187" t="s">
        <v>252</v>
      </c>
      <c r="E187">
        <v>30</v>
      </c>
      <c r="F187" t="s">
        <v>41</v>
      </c>
      <c r="H187" s="1" t="s">
        <v>388</v>
      </c>
      <c r="L187" s="10"/>
    </row>
    <row r="188" spans="1:12">
      <c r="A188" s="22" t="s">
        <v>400</v>
      </c>
      <c r="B188">
        <v>2.66</v>
      </c>
      <c r="C188" s="22" t="s">
        <v>39</v>
      </c>
      <c r="D188" t="s">
        <v>252</v>
      </c>
      <c r="E188">
        <v>37</v>
      </c>
      <c r="F188" t="s">
        <v>41</v>
      </c>
      <c r="H188" s="1" t="s">
        <v>388</v>
      </c>
      <c r="L188" s="10"/>
    </row>
    <row r="189" spans="1:12">
      <c r="A189" s="22" t="s">
        <v>400</v>
      </c>
      <c r="B189">
        <v>3.18</v>
      </c>
      <c r="C189" s="22" t="s">
        <v>39</v>
      </c>
      <c r="D189" t="s">
        <v>252</v>
      </c>
      <c r="E189" s="4">
        <v>20</v>
      </c>
      <c r="F189" t="s">
        <v>234</v>
      </c>
      <c r="G189" s="4" t="s">
        <v>237</v>
      </c>
      <c r="H189" s="4" t="s">
        <v>393</v>
      </c>
    </row>
    <row r="190" spans="1:12" s="1" customFormat="1">
      <c r="A190" s="22" t="s">
        <v>400</v>
      </c>
      <c r="B190" s="1">
        <v>3.03</v>
      </c>
      <c r="C190" s="22" t="s">
        <v>39</v>
      </c>
      <c r="D190" s="1" t="s">
        <v>252</v>
      </c>
      <c r="E190" s="4">
        <v>20</v>
      </c>
      <c r="F190" s="1" t="s">
        <v>234</v>
      </c>
      <c r="G190" s="21" t="s">
        <v>238</v>
      </c>
      <c r="H190" s="4" t="s">
        <v>394</v>
      </c>
      <c r="L190" s="23"/>
    </row>
    <row r="192" spans="1:12">
      <c r="A192" s="22" t="s">
        <v>397</v>
      </c>
      <c r="B192" s="1">
        <v>0.88</v>
      </c>
      <c r="C192" s="1" t="s">
        <v>30</v>
      </c>
      <c r="D192" s="1" t="s">
        <v>280</v>
      </c>
      <c r="E192" s="1">
        <v>21</v>
      </c>
      <c r="F192" t="s">
        <v>270</v>
      </c>
      <c r="G192" t="s">
        <v>278</v>
      </c>
      <c r="H192" s="1" t="s">
        <v>389</v>
      </c>
      <c r="L192" s="10"/>
    </row>
    <row r="193" spans="1:12" s="1" customFormat="1">
      <c r="A193" s="22" t="s">
        <v>233</v>
      </c>
      <c r="B193" s="1">
        <v>3.32</v>
      </c>
      <c r="C193" s="1" t="s">
        <v>39</v>
      </c>
      <c r="D193" s="1" t="s">
        <v>281</v>
      </c>
      <c r="E193" s="1">
        <v>21</v>
      </c>
      <c r="F193" s="1" t="s">
        <v>270</v>
      </c>
      <c r="G193" s="1" t="s">
        <v>286</v>
      </c>
      <c r="H193" s="1" t="s">
        <v>389</v>
      </c>
      <c r="L193" s="23"/>
    </row>
    <row r="194" spans="1:12">
      <c r="A194" s="22" t="s">
        <v>401</v>
      </c>
      <c r="B194" s="1">
        <v>0.92</v>
      </c>
      <c r="C194" s="1" t="s">
        <v>30</v>
      </c>
      <c r="D194" s="1" t="s">
        <v>284</v>
      </c>
      <c r="E194" s="1">
        <v>21</v>
      </c>
      <c r="F194" s="1" t="s">
        <v>270</v>
      </c>
      <c r="G194" s="1" t="s">
        <v>278</v>
      </c>
      <c r="H194" s="1" t="s">
        <v>389</v>
      </c>
      <c r="L194" s="10"/>
    </row>
    <row r="195" spans="1:12" s="1" customFormat="1">
      <c r="A195" s="22" t="s">
        <v>233</v>
      </c>
      <c r="B195" s="1">
        <v>30.4</v>
      </c>
      <c r="C195" s="1" t="s">
        <v>285</v>
      </c>
      <c r="D195" s="1" t="s">
        <v>283</v>
      </c>
      <c r="E195" s="1">
        <v>21</v>
      </c>
      <c r="F195" s="1" t="s">
        <v>270</v>
      </c>
      <c r="G195" s="1" t="s">
        <v>278</v>
      </c>
      <c r="H195" s="1" t="s">
        <v>389</v>
      </c>
      <c r="L195" s="23"/>
    </row>
    <row r="196" spans="1:12" s="1" customFormat="1">
      <c r="L196" s="23"/>
    </row>
    <row r="197" spans="1:12" s="1" customFormat="1">
      <c r="A197" s="22" t="s">
        <v>396</v>
      </c>
      <c r="B197" s="1" t="s">
        <v>308</v>
      </c>
      <c r="C197" s="1" t="s">
        <v>219</v>
      </c>
      <c r="D197" s="1" t="s">
        <v>309</v>
      </c>
      <c r="E197" s="22" t="s">
        <v>307</v>
      </c>
      <c r="F197" s="1" t="s">
        <v>302</v>
      </c>
      <c r="G197" s="1" t="s">
        <v>310</v>
      </c>
      <c r="H197" s="22" t="s">
        <v>390</v>
      </c>
      <c r="L197" s="23"/>
    </row>
    <row r="198" spans="1:12" s="1" customFormat="1">
      <c r="A198" s="22" t="s">
        <v>396</v>
      </c>
      <c r="B198" s="1" t="s">
        <v>311</v>
      </c>
      <c r="C198" s="1" t="s">
        <v>219</v>
      </c>
      <c r="D198" s="1" t="s">
        <v>309</v>
      </c>
      <c r="E198" s="22" t="s">
        <v>307</v>
      </c>
      <c r="F198" s="1" t="s">
        <v>302</v>
      </c>
      <c r="G198" s="1" t="s">
        <v>334</v>
      </c>
      <c r="H198" s="22" t="s">
        <v>390</v>
      </c>
    </row>
    <row r="199" spans="1:12" s="1" customFormat="1">
      <c r="A199" s="22" t="s">
        <v>233</v>
      </c>
      <c r="B199" s="30">
        <v>0.7</v>
      </c>
      <c r="C199" s="1" t="s">
        <v>219</v>
      </c>
      <c r="D199" s="1" t="s">
        <v>241</v>
      </c>
      <c r="E199" s="1">
        <v>20</v>
      </c>
      <c r="F199" s="1" t="s">
        <v>64</v>
      </c>
      <c r="H199" s="1" t="s">
        <v>389</v>
      </c>
    </row>
    <row r="200" spans="1:12" s="1" customFormat="1">
      <c r="A200" s="22" t="s">
        <v>233</v>
      </c>
      <c r="B200" s="30">
        <v>0.79</v>
      </c>
      <c r="C200" s="1" t="s">
        <v>219</v>
      </c>
      <c r="D200" s="1" t="s">
        <v>241</v>
      </c>
      <c r="E200" s="1">
        <v>25</v>
      </c>
      <c r="F200" s="1" t="s">
        <v>64</v>
      </c>
      <c r="H200" s="1" t="s">
        <v>389</v>
      </c>
    </row>
    <row r="201" spans="1:12" s="1" customFormat="1">
      <c r="A201" s="22" t="s">
        <v>233</v>
      </c>
      <c r="B201" s="30">
        <v>0.92</v>
      </c>
      <c r="C201" s="1" t="s">
        <v>219</v>
      </c>
      <c r="D201" s="1" t="s">
        <v>241</v>
      </c>
      <c r="E201" s="1">
        <v>35</v>
      </c>
      <c r="F201" s="1" t="s">
        <v>64</v>
      </c>
      <c r="H201" s="1" t="s">
        <v>389</v>
      </c>
      <c r="L201" s="23"/>
    </row>
    <row r="202" spans="1:12" s="1" customFormat="1">
      <c r="A202" s="22" t="s">
        <v>233</v>
      </c>
      <c r="B202" s="30">
        <v>81.05</v>
      </c>
      <c r="C202" s="1" t="s">
        <v>219</v>
      </c>
      <c r="D202" s="1" t="s">
        <v>240</v>
      </c>
      <c r="E202" s="1">
        <v>20</v>
      </c>
      <c r="F202" s="1" t="s">
        <v>64</v>
      </c>
      <c r="H202" s="1" t="s">
        <v>389</v>
      </c>
    </row>
    <row r="203" spans="1:12" s="1" customFormat="1">
      <c r="A203" s="22" t="s">
        <v>233</v>
      </c>
      <c r="B203" s="30">
        <v>79.11</v>
      </c>
      <c r="C203" s="1" t="s">
        <v>219</v>
      </c>
      <c r="D203" s="1" t="s">
        <v>240</v>
      </c>
      <c r="E203" s="1">
        <v>25</v>
      </c>
      <c r="F203" s="1" t="s">
        <v>64</v>
      </c>
      <c r="H203" s="1" t="s">
        <v>389</v>
      </c>
    </row>
    <row r="204" spans="1:12" s="1" customFormat="1">
      <c r="A204" s="22" t="s">
        <v>233</v>
      </c>
      <c r="B204" s="30">
        <v>46.76</v>
      </c>
      <c r="C204" s="1" t="s">
        <v>219</v>
      </c>
      <c r="D204" s="1" t="s">
        <v>240</v>
      </c>
      <c r="E204" s="1">
        <v>35</v>
      </c>
      <c r="F204" s="1" t="s">
        <v>64</v>
      </c>
      <c r="H204" s="1" t="s">
        <v>389</v>
      </c>
    </row>
    <row r="205" spans="1:12" s="1" customFormat="1">
      <c r="A205" s="22" t="s">
        <v>396</v>
      </c>
      <c r="B205" s="1">
        <v>45.96</v>
      </c>
      <c r="C205" s="1" t="s">
        <v>219</v>
      </c>
      <c r="D205" s="1" t="s">
        <v>242</v>
      </c>
      <c r="E205" s="1">
        <v>20</v>
      </c>
      <c r="F205" s="1" t="s">
        <v>64</v>
      </c>
      <c r="H205" s="1" t="s">
        <v>389</v>
      </c>
    </row>
    <row r="206" spans="1:12" s="1" customFormat="1">
      <c r="A206" s="22" t="s">
        <v>396</v>
      </c>
      <c r="B206" s="1">
        <v>59.01</v>
      </c>
      <c r="C206" s="1" t="s">
        <v>219</v>
      </c>
      <c r="D206" s="1" t="s">
        <v>242</v>
      </c>
      <c r="E206" s="1">
        <v>25</v>
      </c>
      <c r="F206" s="1" t="s">
        <v>64</v>
      </c>
      <c r="H206" s="1" t="s">
        <v>389</v>
      </c>
    </row>
    <row r="207" spans="1:12" s="1" customFormat="1">
      <c r="A207" s="22" t="s">
        <v>396</v>
      </c>
      <c r="B207" s="1">
        <v>31.08</v>
      </c>
      <c r="C207" s="1" t="s">
        <v>219</v>
      </c>
      <c r="D207" s="1" t="s">
        <v>242</v>
      </c>
      <c r="E207" s="1">
        <v>35</v>
      </c>
      <c r="F207" s="1" t="s">
        <v>64</v>
      </c>
      <c r="H207" s="1" t="s">
        <v>389</v>
      </c>
    </row>
    <row r="208" spans="1:12" s="1" customFormat="1">
      <c r="A208" s="22" t="s">
        <v>396</v>
      </c>
      <c r="B208" s="30">
        <f>B199*B202</f>
        <v>56.734999999999992</v>
      </c>
      <c r="C208" s="1" t="s">
        <v>219</v>
      </c>
      <c r="D208" s="1" t="s">
        <v>239</v>
      </c>
      <c r="E208" s="1">
        <v>20</v>
      </c>
      <c r="F208" s="1" t="s">
        <v>64</v>
      </c>
      <c r="G208" s="1" t="s">
        <v>243</v>
      </c>
      <c r="H208" s="1" t="s">
        <v>389</v>
      </c>
    </row>
    <row r="209" spans="1:8" s="1" customFormat="1">
      <c r="A209" s="22" t="s">
        <v>396</v>
      </c>
      <c r="B209" s="30">
        <f>B200*B203</f>
        <v>62.496900000000004</v>
      </c>
      <c r="C209" s="1" t="s">
        <v>219</v>
      </c>
      <c r="D209" s="1" t="s">
        <v>239</v>
      </c>
      <c r="E209" s="1">
        <v>25</v>
      </c>
      <c r="F209" s="1" t="s">
        <v>64</v>
      </c>
      <c r="G209" s="1" t="s">
        <v>243</v>
      </c>
      <c r="H209" s="1" t="s">
        <v>389</v>
      </c>
    </row>
    <row r="210" spans="1:8" s="1" customFormat="1">
      <c r="A210" s="22" t="s">
        <v>396</v>
      </c>
      <c r="B210" s="30">
        <f>B201*B204</f>
        <v>43.019199999999998</v>
      </c>
      <c r="C210" s="1" t="s">
        <v>219</v>
      </c>
      <c r="D210" s="1" t="s">
        <v>239</v>
      </c>
      <c r="E210" s="1">
        <v>35</v>
      </c>
      <c r="F210" s="1" t="s">
        <v>64</v>
      </c>
      <c r="G210" s="1" t="s">
        <v>243</v>
      </c>
      <c r="H210" s="1" t="s">
        <v>389</v>
      </c>
    </row>
    <row r="211" spans="1:8">
      <c r="A211" s="22" t="s">
        <v>233</v>
      </c>
      <c r="B211">
        <v>0.93</v>
      </c>
      <c r="C211" t="s">
        <v>219</v>
      </c>
      <c r="D211" t="s">
        <v>312</v>
      </c>
      <c r="E211">
        <v>24.6</v>
      </c>
      <c r="F211" t="s">
        <v>313</v>
      </c>
      <c r="G211" s="1" t="s">
        <v>334</v>
      </c>
      <c r="H211" s="1" t="s">
        <v>389</v>
      </c>
    </row>
    <row r="212" spans="1:8">
      <c r="A212" s="22" t="s">
        <v>233</v>
      </c>
      <c r="B212">
        <v>0.88</v>
      </c>
      <c r="C212" t="s">
        <v>219</v>
      </c>
      <c r="D212" t="s">
        <v>312</v>
      </c>
      <c r="E212">
        <v>21</v>
      </c>
      <c r="F212" t="s">
        <v>313</v>
      </c>
      <c r="G212" s="1" t="s">
        <v>334</v>
      </c>
      <c r="H212" s="1" t="s">
        <v>389</v>
      </c>
    </row>
    <row r="213" spans="1:8">
      <c r="A213" s="22" t="s">
        <v>233</v>
      </c>
      <c r="B213">
        <v>0.52</v>
      </c>
      <c r="C213" t="s">
        <v>219</v>
      </c>
      <c r="D213" t="s">
        <v>312</v>
      </c>
      <c r="E213">
        <v>12.1</v>
      </c>
      <c r="F213" t="s">
        <v>313</v>
      </c>
      <c r="G213" s="1" t="s">
        <v>334</v>
      </c>
      <c r="H213" s="1" t="s">
        <v>389</v>
      </c>
    </row>
    <row r="214" spans="1:8">
      <c r="A214" s="22" t="s">
        <v>233</v>
      </c>
      <c r="B214">
        <v>71.84</v>
      </c>
      <c r="C214" t="s">
        <v>219</v>
      </c>
      <c r="D214" t="s">
        <v>314</v>
      </c>
      <c r="E214">
        <v>24.6</v>
      </c>
      <c r="F214" t="s">
        <v>313</v>
      </c>
      <c r="G214" s="1" t="s">
        <v>315</v>
      </c>
      <c r="H214" s="1" t="s">
        <v>389</v>
      </c>
    </row>
    <row r="215" spans="1:8">
      <c r="A215" s="22" t="s">
        <v>233</v>
      </c>
      <c r="B215">
        <v>74.569999999999993</v>
      </c>
      <c r="C215" t="s">
        <v>219</v>
      </c>
      <c r="D215" t="s">
        <v>314</v>
      </c>
      <c r="E215">
        <v>21</v>
      </c>
      <c r="F215" t="s">
        <v>313</v>
      </c>
      <c r="G215" s="1" t="s">
        <v>316</v>
      </c>
      <c r="H215" s="1" t="s">
        <v>389</v>
      </c>
    </row>
    <row r="216" spans="1:8">
      <c r="A216" s="22" t="s">
        <v>233</v>
      </c>
      <c r="B216">
        <v>64.5</v>
      </c>
      <c r="C216" t="s">
        <v>219</v>
      </c>
      <c r="D216" t="s">
        <v>314</v>
      </c>
      <c r="E216">
        <v>12.1</v>
      </c>
      <c r="F216" t="s">
        <v>313</v>
      </c>
      <c r="G216" s="1" t="s">
        <v>317</v>
      </c>
      <c r="H216" s="1" t="s">
        <v>389</v>
      </c>
    </row>
    <row r="217" spans="1:8">
      <c r="A217" s="22" t="s">
        <v>233</v>
      </c>
      <c r="B217">
        <v>80.2</v>
      </c>
      <c r="C217" t="s">
        <v>219</v>
      </c>
      <c r="D217" t="s">
        <v>239</v>
      </c>
      <c r="E217">
        <v>15</v>
      </c>
      <c r="F217" s="1" t="s">
        <v>346</v>
      </c>
      <c r="G217" s="1" t="s">
        <v>353</v>
      </c>
      <c r="H217" s="1" t="s">
        <v>389</v>
      </c>
    </row>
    <row r="218" spans="1:8">
      <c r="A218" s="22" t="s">
        <v>233</v>
      </c>
      <c r="B218">
        <v>89.7</v>
      </c>
      <c r="C218" t="s">
        <v>219</v>
      </c>
      <c r="D218" t="s">
        <v>239</v>
      </c>
      <c r="E218">
        <v>17.5</v>
      </c>
      <c r="F218" s="1" t="s">
        <v>346</v>
      </c>
      <c r="G218" s="1" t="s">
        <v>353</v>
      </c>
      <c r="H218" s="1" t="s">
        <v>389</v>
      </c>
    </row>
    <row r="219" spans="1:8">
      <c r="A219" s="22" t="s">
        <v>233</v>
      </c>
      <c r="B219">
        <v>124.1</v>
      </c>
      <c r="C219" t="s">
        <v>219</v>
      </c>
      <c r="D219" t="s">
        <v>239</v>
      </c>
      <c r="E219">
        <v>20</v>
      </c>
      <c r="F219" s="1" t="s">
        <v>346</v>
      </c>
      <c r="G219" s="1" t="s">
        <v>353</v>
      </c>
      <c r="H219" s="1" t="s">
        <v>389</v>
      </c>
    </row>
    <row r="220" spans="1:8">
      <c r="A220" s="22" t="s">
        <v>233</v>
      </c>
      <c r="B220">
        <v>104.9</v>
      </c>
      <c r="C220" t="s">
        <v>219</v>
      </c>
      <c r="D220" t="s">
        <v>239</v>
      </c>
      <c r="E220">
        <v>22.5</v>
      </c>
      <c r="F220" s="1" t="s">
        <v>346</v>
      </c>
      <c r="G220" s="1" t="s">
        <v>353</v>
      </c>
      <c r="H220" s="1" t="s">
        <v>389</v>
      </c>
    </row>
    <row r="221" spans="1:8">
      <c r="A221" s="22" t="s">
        <v>233</v>
      </c>
      <c r="B221">
        <v>70.8</v>
      </c>
      <c r="C221" t="s">
        <v>219</v>
      </c>
      <c r="D221" t="s">
        <v>239</v>
      </c>
      <c r="E221">
        <v>25</v>
      </c>
      <c r="F221" s="1" t="s">
        <v>346</v>
      </c>
      <c r="G221" s="1" t="s">
        <v>353</v>
      </c>
      <c r="H221" s="1" t="s">
        <v>389</v>
      </c>
    </row>
    <row r="222" spans="1:8">
      <c r="A222" s="22" t="s">
        <v>233</v>
      </c>
      <c r="B222">
        <v>64.599999999999994</v>
      </c>
      <c r="C222" t="s">
        <v>219</v>
      </c>
      <c r="D222" t="s">
        <v>239</v>
      </c>
      <c r="E222">
        <v>27.5</v>
      </c>
      <c r="F222" s="1" t="s">
        <v>346</v>
      </c>
      <c r="G222" s="1" t="s">
        <v>353</v>
      </c>
      <c r="H222" s="1" t="s">
        <v>389</v>
      </c>
    </row>
    <row r="223" spans="1:8">
      <c r="A223" s="22" t="s">
        <v>233</v>
      </c>
      <c r="B223">
        <v>41.2</v>
      </c>
      <c r="C223" t="s">
        <v>219</v>
      </c>
      <c r="D223" t="s">
        <v>239</v>
      </c>
      <c r="E223">
        <v>30</v>
      </c>
      <c r="F223" s="1" t="s">
        <v>346</v>
      </c>
      <c r="G223" s="1" t="s">
        <v>353</v>
      </c>
      <c r="H223" s="1" t="s">
        <v>389</v>
      </c>
    </row>
  </sheetData>
  <phoneticPr fontId="4" type="noConversion"/>
  <conditionalFormatting sqref="H4:H1048576 H1:H2">
    <cfRule type="notContainsBlanks" dxfId="1" priority="1">
      <formula>LEN(TRIM(H1))&gt;0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pane ySplit="1" topLeftCell="A2" activePane="bottomLeft" state="frozen"/>
      <selection pane="bottomLeft" activeCell="G21" sqref="G21"/>
    </sheetView>
  </sheetViews>
  <sheetFormatPr defaultRowHeight="14.4"/>
  <cols>
    <col min="1" max="1" width="10.5546875" customWidth="1"/>
    <col min="3" max="3" width="12.44140625" customWidth="1"/>
    <col min="4" max="4" width="8.109375" customWidth="1"/>
    <col min="5" max="5" width="11.33203125" customWidth="1"/>
    <col min="6" max="7" width="26.88671875" customWidth="1"/>
    <col min="8" max="8" width="12.33203125" customWidth="1"/>
    <col min="9" max="9" width="11.5546875" customWidth="1"/>
    <col min="10" max="10" width="17.109375" customWidth="1"/>
  </cols>
  <sheetData>
    <row r="1" spans="1:11" s="2" customFormat="1" ht="28.8">
      <c r="A1" s="8" t="s">
        <v>62</v>
      </c>
      <c r="B1" s="5" t="s">
        <v>231</v>
      </c>
      <c r="C1" s="2" t="s">
        <v>232</v>
      </c>
      <c r="D1" s="8" t="s">
        <v>216</v>
      </c>
      <c r="E1" s="7" t="s">
        <v>217</v>
      </c>
      <c r="F1" s="7" t="s">
        <v>214</v>
      </c>
      <c r="G1" s="2" t="s">
        <v>215</v>
      </c>
      <c r="H1" s="7" t="s">
        <v>23</v>
      </c>
      <c r="I1" s="2" t="s">
        <v>17</v>
      </c>
      <c r="J1" s="2" t="s">
        <v>3</v>
      </c>
      <c r="K1" s="6" t="s">
        <v>44</v>
      </c>
    </row>
    <row r="2" spans="1:11">
      <c r="A2" s="4" t="s">
        <v>61</v>
      </c>
      <c r="B2" s="3">
        <f>15/24</f>
        <v>0.625</v>
      </c>
      <c r="C2">
        <f>1228/1000</f>
        <v>1.228</v>
      </c>
      <c r="D2" s="3" t="s">
        <v>19</v>
      </c>
      <c r="E2" s="22" t="s">
        <v>30</v>
      </c>
      <c r="F2" t="s">
        <v>59</v>
      </c>
      <c r="G2" t="s">
        <v>56</v>
      </c>
      <c r="H2" s="22"/>
      <c r="I2" s="1" t="s">
        <v>255</v>
      </c>
      <c r="K2" t="s">
        <v>379</v>
      </c>
    </row>
    <row r="3" spans="1:11">
      <c r="A3" s="4" t="s">
        <v>61</v>
      </c>
      <c r="B3" s="3">
        <f>60/24</f>
        <v>2.5</v>
      </c>
      <c r="C3">
        <f>1138/1000</f>
        <v>1.1379999999999999</v>
      </c>
      <c r="D3" s="3" t="s">
        <v>19</v>
      </c>
      <c r="E3" s="22" t="s">
        <v>30</v>
      </c>
      <c r="F3" t="s">
        <v>59</v>
      </c>
      <c r="G3" t="s">
        <v>56</v>
      </c>
      <c r="H3" s="22"/>
      <c r="I3" s="1" t="s">
        <v>255</v>
      </c>
      <c r="K3" t="s">
        <v>379</v>
      </c>
    </row>
    <row r="4" spans="1:11">
      <c r="A4" s="4"/>
      <c r="B4" s="3"/>
      <c r="D4" s="3"/>
      <c r="H4" s="1"/>
      <c r="I4" s="1"/>
    </row>
    <row r="5" spans="1:11">
      <c r="A5" s="4" t="s">
        <v>60</v>
      </c>
      <c r="B5" s="3">
        <f>84/24</f>
        <v>3.5</v>
      </c>
      <c r="C5">
        <f>896/1000</f>
        <v>0.89600000000000002</v>
      </c>
      <c r="D5" s="3" t="s">
        <v>19</v>
      </c>
      <c r="E5" s="22" t="s">
        <v>30</v>
      </c>
      <c r="F5" t="s">
        <v>59</v>
      </c>
      <c r="G5" t="s">
        <v>57</v>
      </c>
      <c r="H5" s="22"/>
      <c r="I5" s="1" t="s">
        <v>255</v>
      </c>
      <c r="K5" t="s">
        <v>380</v>
      </c>
    </row>
    <row r="6" spans="1:11">
      <c r="A6" s="4" t="s">
        <v>60</v>
      </c>
      <c r="B6" s="3">
        <f>132/24</f>
        <v>5.5</v>
      </c>
      <c r="C6">
        <f>812/1000</f>
        <v>0.81200000000000006</v>
      </c>
      <c r="D6" s="3" t="s">
        <v>19</v>
      </c>
      <c r="E6" s="22" t="s">
        <v>30</v>
      </c>
      <c r="F6" t="s">
        <v>59</v>
      </c>
      <c r="G6" t="s">
        <v>57</v>
      </c>
      <c r="H6" s="22"/>
      <c r="I6" s="1" t="s">
        <v>255</v>
      </c>
      <c r="K6" t="s">
        <v>380</v>
      </c>
    </row>
    <row r="7" spans="1:11">
      <c r="A7" s="4" t="s">
        <v>60</v>
      </c>
      <c r="B7" s="3">
        <f>144/24</f>
        <v>6</v>
      </c>
      <c r="C7">
        <f>973/1000</f>
        <v>0.97299999999999998</v>
      </c>
      <c r="D7" s="3" t="s">
        <v>19</v>
      </c>
      <c r="E7" s="22" t="s">
        <v>30</v>
      </c>
      <c r="F7" t="s">
        <v>59</v>
      </c>
      <c r="G7" t="s">
        <v>57</v>
      </c>
      <c r="H7" s="22"/>
      <c r="I7" s="1" t="s">
        <v>255</v>
      </c>
      <c r="K7" t="s">
        <v>380</v>
      </c>
    </row>
    <row r="8" spans="1:11">
      <c r="A8" s="4" t="s">
        <v>60</v>
      </c>
      <c r="B8" s="3">
        <f>180/24</f>
        <v>7.5</v>
      </c>
      <c r="C8">
        <f>670/1000</f>
        <v>0.67</v>
      </c>
      <c r="D8" s="3" t="s">
        <v>19</v>
      </c>
      <c r="E8" s="22" t="s">
        <v>30</v>
      </c>
      <c r="F8" t="s">
        <v>59</v>
      </c>
      <c r="G8" t="s">
        <v>57</v>
      </c>
      <c r="H8" s="22"/>
      <c r="I8" s="1" t="s">
        <v>255</v>
      </c>
      <c r="K8" t="s">
        <v>380</v>
      </c>
    </row>
    <row r="10" spans="1:11">
      <c r="A10" s="22" t="s">
        <v>249</v>
      </c>
      <c r="B10">
        <v>10</v>
      </c>
      <c r="C10">
        <v>0.32</v>
      </c>
      <c r="D10" t="s">
        <v>219</v>
      </c>
      <c r="E10" s="22" t="s">
        <v>30</v>
      </c>
      <c r="F10" s="9" t="s">
        <v>247</v>
      </c>
      <c r="G10" t="s">
        <v>57</v>
      </c>
      <c r="H10">
        <v>25</v>
      </c>
      <c r="I10" t="s">
        <v>53</v>
      </c>
      <c r="K10" t="s">
        <v>377</v>
      </c>
    </row>
    <row r="11" spans="1:11">
      <c r="A11" s="22" t="s">
        <v>249</v>
      </c>
      <c r="B11">
        <v>20</v>
      </c>
      <c r="C11">
        <v>0.27</v>
      </c>
      <c r="D11" t="s">
        <v>219</v>
      </c>
      <c r="E11" s="22" t="s">
        <v>30</v>
      </c>
      <c r="F11" s="9" t="s">
        <v>247</v>
      </c>
      <c r="G11" t="s">
        <v>57</v>
      </c>
      <c r="H11">
        <v>25</v>
      </c>
      <c r="I11" t="s">
        <v>53</v>
      </c>
      <c r="K11" t="s">
        <v>377</v>
      </c>
    </row>
    <row r="12" spans="1:11">
      <c r="A12" s="22" t="s">
        <v>249</v>
      </c>
      <c r="B12">
        <v>30</v>
      </c>
      <c r="C12">
        <v>0.23</v>
      </c>
      <c r="D12" t="s">
        <v>219</v>
      </c>
      <c r="E12" s="22" t="s">
        <v>30</v>
      </c>
      <c r="F12" s="9" t="s">
        <v>247</v>
      </c>
      <c r="G12" t="s">
        <v>57</v>
      </c>
      <c r="H12">
        <v>25</v>
      </c>
      <c r="I12" t="s">
        <v>53</v>
      </c>
      <c r="K12" t="s">
        <v>377</v>
      </c>
    </row>
    <row r="13" spans="1:11">
      <c r="A13" s="22" t="s">
        <v>249</v>
      </c>
      <c r="B13">
        <v>40</v>
      </c>
      <c r="C13">
        <v>0.18</v>
      </c>
      <c r="D13" t="s">
        <v>219</v>
      </c>
      <c r="E13" s="22" t="s">
        <v>30</v>
      </c>
      <c r="F13" s="9" t="s">
        <v>247</v>
      </c>
      <c r="G13" t="s">
        <v>57</v>
      </c>
      <c r="H13">
        <v>25</v>
      </c>
      <c r="I13" t="s">
        <v>53</v>
      </c>
      <c r="K13" t="s">
        <v>377</v>
      </c>
    </row>
    <row r="14" spans="1:11">
      <c r="F14" s="9"/>
    </row>
    <row r="15" spans="1:11">
      <c r="A15" s="22" t="s">
        <v>250</v>
      </c>
      <c r="B15">
        <v>10</v>
      </c>
      <c r="C15">
        <v>0.28999999999999998</v>
      </c>
      <c r="D15" t="s">
        <v>219</v>
      </c>
      <c r="E15" s="22" t="s">
        <v>30</v>
      </c>
      <c r="F15" s="9" t="s">
        <v>247</v>
      </c>
      <c r="G15" t="s">
        <v>253</v>
      </c>
      <c r="H15">
        <v>25</v>
      </c>
      <c r="I15" t="s">
        <v>53</v>
      </c>
      <c r="K15" t="s">
        <v>378</v>
      </c>
    </row>
    <row r="16" spans="1:11">
      <c r="A16" s="22" t="s">
        <v>250</v>
      </c>
      <c r="B16">
        <v>20</v>
      </c>
      <c r="C16">
        <v>0.24</v>
      </c>
      <c r="D16" t="s">
        <v>219</v>
      </c>
      <c r="E16" s="22" t="s">
        <v>30</v>
      </c>
      <c r="F16" s="9" t="s">
        <v>247</v>
      </c>
      <c r="G16" t="s">
        <v>253</v>
      </c>
      <c r="H16">
        <v>25</v>
      </c>
      <c r="I16" t="s">
        <v>53</v>
      </c>
      <c r="K16" t="s">
        <v>378</v>
      </c>
    </row>
    <row r="17" spans="1:11">
      <c r="A17" s="22" t="s">
        <v>250</v>
      </c>
      <c r="B17">
        <v>30</v>
      </c>
      <c r="C17">
        <v>0.19</v>
      </c>
      <c r="D17" t="s">
        <v>219</v>
      </c>
      <c r="E17" s="22" t="s">
        <v>30</v>
      </c>
      <c r="F17" s="9" t="s">
        <v>247</v>
      </c>
      <c r="G17" t="s">
        <v>253</v>
      </c>
      <c r="H17">
        <v>25</v>
      </c>
      <c r="I17" t="s">
        <v>53</v>
      </c>
      <c r="K17" t="s">
        <v>378</v>
      </c>
    </row>
    <row r="18" spans="1:11">
      <c r="A18" s="22" t="s">
        <v>250</v>
      </c>
      <c r="B18">
        <v>40</v>
      </c>
      <c r="C18">
        <v>0.14000000000000001</v>
      </c>
      <c r="D18" t="s">
        <v>219</v>
      </c>
      <c r="E18" s="22" t="s">
        <v>30</v>
      </c>
      <c r="F18" s="9" t="s">
        <v>247</v>
      </c>
      <c r="G18" t="s">
        <v>253</v>
      </c>
      <c r="H18">
        <v>25</v>
      </c>
      <c r="I18" t="s">
        <v>53</v>
      </c>
      <c r="K18" t="s">
        <v>378</v>
      </c>
    </row>
    <row r="19" spans="1:11">
      <c r="A19" s="1"/>
    </row>
    <row r="20" spans="1:11">
      <c r="A20" s="22" t="s">
        <v>248</v>
      </c>
      <c r="B20">
        <v>10</v>
      </c>
      <c r="C20">
        <v>6.61</v>
      </c>
      <c r="D20" t="s">
        <v>219</v>
      </c>
      <c r="E20" t="s">
        <v>19</v>
      </c>
      <c r="F20" s="9" t="s">
        <v>247</v>
      </c>
      <c r="G20" t="s">
        <v>254</v>
      </c>
      <c r="H20">
        <v>25</v>
      </c>
      <c r="I20" t="s">
        <v>53</v>
      </c>
      <c r="K20" t="s">
        <v>246</v>
      </c>
    </row>
    <row r="21" spans="1:11">
      <c r="A21" s="22" t="s">
        <v>248</v>
      </c>
      <c r="B21">
        <v>20</v>
      </c>
      <c r="C21">
        <v>7.51</v>
      </c>
      <c r="D21" t="s">
        <v>219</v>
      </c>
      <c r="E21" t="s">
        <v>19</v>
      </c>
      <c r="F21" s="9" t="s">
        <v>247</v>
      </c>
      <c r="G21" t="s">
        <v>254</v>
      </c>
      <c r="H21">
        <v>25</v>
      </c>
      <c r="I21" t="s">
        <v>53</v>
      </c>
      <c r="K21" t="s">
        <v>246</v>
      </c>
    </row>
    <row r="22" spans="1:11">
      <c r="A22" s="22" t="s">
        <v>248</v>
      </c>
      <c r="B22">
        <v>30</v>
      </c>
      <c r="C22">
        <v>8.42</v>
      </c>
      <c r="D22" t="s">
        <v>219</v>
      </c>
      <c r="E22" t="s">
        <v>19</v>
      </c>
      <c r="F22" s="9" t="s">
        <v>247</v>
      </c>
      <c r="G22" t="s">
        <v>254</v>
      </c>
      <c r="H22">
        <v>25</v>
      </c>
      <c r="I22" t="s">
        <v>53</v>
      </c>
      <c r="K22" t="s">
        <v>246</v>
      </c>
    </row>
    <row r="23" spans="1:11">
      <c r="A23" s="22" t="s">
        <v>248</v>
      </c>
      <c r="B23">
        <v>40</v>
      </c>
      <c r="C23">
        <v>9.35</v>
      </c>
      <c r="D23" t="s">
        <v>219</v>
      </c>
      <c r="E23" t="s">
        <v>19</v>
      </c>
      <c r="F23" s="9" t="s">
        <v>247</v>
      </c>
      <c r="G23" t="s">
        <v>254</v>
      </c>
      <c r="H23">
        <v>25</v>
      </c>
      <c r="I23" t="s">
        <v>53</v>
      </c>
      <c r="K23" t="s">
        <v>246</v>
      </c>
    </row>
    <row r="25" spans="1:11" s="24" customFormat="1">
      <c r="A25" s="24" t="s">
        <v>182</v>
      </c>
      <c r="B25" s="24">
        <v>6.32</v>
      </c>
      <c r="C25" s="24">
        <v>0.22</v>
      </c>
      <c r="D25" s="15" t="s">
        <v>19</v>
      </c>
      <c r="E25" s="24" t="s">
        <v>30</v>
      </c>
      <c r="F25" s="24" t="s">
        <v>287</v>
      </c>
      <c r="G25" s="24" t="s">
        <v>381</v>
      </c>
      <c r="H25" s="24">
        <v>22.5</v>
      </c>
      <c r="I25" s="24" t="s">
        <v>288</v>
      </c>
      <c r="J25" s="24" t="s">
        <v>289</v>
      </c>
    </row>
    <row r="26" spans="1:11" s="24" customFormat="1">
      <c r="A26" s="24" t="s">
        <v>182</v>
      </c>
      <c r="B26" s="24">
        <v>8.27</v>
      </c>
      <c r="C26" s="24">
        <v>1.05</v>
      </c>
      <c r="D26" s="15" t="s">
        <v>19</v>
      </c>
      <c r="E26" s="24" t="s">
        <v>30</v>
      </c>
      <c r="F26" s="24" t="s">
        <v>287</v>
      </c>
      <c r="G26" s="24" t="s">
        <v>381</v>
      </c>
      <c r="H26" s="24">
        <v>22.5</v>
      </c>
      <c r="I26" s="24" t="s">
        <v>288</v>
      </c>
      <c r="J26" s="24" t="s">
        <v>289</v>
      </c>
    </row>
    <row r="27" spans="1:11" s="24" customFormat="1">
      <c r="A27" s="24" t="s">
        <v>182</v>
      </c>
      <c r="B27" s="24">
        <v>10.31</v>
      </c>
      <c r="C27" s="24">
        <v>2.73</v>
      </c>
      <c r="D27" s="15" t="s">
        <v>19</v>
      </c>
      <c r="E27" s="24" t="s">
        <v>30</v>
      </c>
      <c r="F27" s="24" t="s">
        <v>287</v>
      </c>
      <c r="G27" s="24" t="s">
        <v>381</v>
      </c>
      <c r="H27" s="24">
        <v>22.5</v>
      </c>
      <c r="I27" s="24" t="s">
        <v>288</v>
      </c>
      <c r="J27" s="24" t="s">
        <v>289</v>
      </c>
    </row>
    <row r="28" spans="1:11" s="24" customFormat="1">
      <c r="A28" s="24" t="s">
        <v>182</v>
      </c>
      <c r="B28" s="24">
        <v>12.33</v>
      </c>
      <c r="C28" s="24">
        <v>3.97</v>
      </c>
      <c r="D28" s="15" t="s">
        <v>19</v>
      </c>
      <c r="E28" s="24" t="s">
        <v>30</v>
      </c>
      <c r="F28" s="24" t="s">
        <v>287</v>
      </c>
      <c r="G28" s="24" t="s">
        <v>381</v>
      </c>
      <c r="H28" s="24">
        <v>22.5</v>
      </c>
      <c r="I28" s="24" t="s">
        <v>288</v>
      </c>
      <c r="J28" s="24" t="s">
        <v>289</v>
      </c>
    </row>
    <row r="29" spans="1:11" s="24" customFormat="1">
      <c r="A29" s="24" t="s">
        <v>182</v>
      </c>
      <c r="B29" s="24">
        <v>13.99</v>
      </c>
      <c r="C29" s="24">
        <v>4.62</v>
      </c>
      <c r="D29" s="15" t="s">
        <v>19</v>
      </c>
      <c r="E29" s="24" t="s">
        <v>30</v>
      </c>
      <c r="F29" s="24" t="s">
        <v>287</v>
      </c>
      <c r="G29" s="24" t="s">
        <v>381</v>
      </c>
      <c r="H29" s="24">
        <v>22.5</v>
      </c>
      <c r="I29" s="24" t="s">
        <v>288</v>
      </c>
      <c r="J29" s="24" t="s">
        <v>289</v>
      </c>
    </row>
    <row r="31" spans="1:11">
      <c r="A31" s="24" t="s">
        <v>182</v>
      </c>
      <c r="B31">
        <v>5</v>
      </c>
      <c r="C31">
        <v>0.11799999999999999</v>
      </c>
      <c r="D31" s="15" t="s">
        <v>19</v>
      </c>
      <c r="E31" s="24" t="s">
        <v>30</v>
      </c>
      <c r="F31" s="24" t="s">
        <v>287</v>
      </c>
      <c r="G31" s="24" t="s">
        <v>382</v>
      </c>
      <c r="H31" s="24">
        <v>22.5</v>
      </c>
      <c r="I31" s="24" t="s">
        <v>288</v>
      </c>
      <c r="J31" t="s">
        <v>290</v>
      </c>
    </row>
    <row r="32" spans="1:11">
      <c r="A32" s="24" t="s">
        <v>182</v>
      </c>
      <c r="B32">
        <v>6</v>
      </c>
      <c r="C32">
        <v>0.371</v>
      </c>
      <c r="D32" s="15" t="s">
        <v>19</v>
      </c>
      <c r="E32" s="24" t="s">
        <v>30</v>
      </c>
      <c r="F32" s="24" t="s">
        <v>287</v>
      </c>
      <c r="G32" s="24" t="s">
        <v>382</v>
      </c>
      <c r="H32" s="24">
        <v>22.5</v>
      </c>
      <c r="I32" s="24" t="s">
        <v>288</v>
      </c>
      <c r="J32" t="s">
        <v>290</v>
      </c>
    </row>
    <row r="33" spans="1:10">
      <c r="A33" s="24" t="s">
        <v>182</v>
      </c>
      <c r="B33">
        <v>7</v>
      </c>
      <c r="C33">
        <v>0.63300000000000001</v>
      </c>
      <c r="D33" s="15" t="s">
        <v>19</v>
      </c>
      <c r="E33" s="24" t="s">
        <v>30</v>
      </c>
      <c r="F33" s="24" t="s">
        <v>287</v>
      </c>
      <c r="G33" s="24" t="s">
        <v>382</v>
      </c>
      <c r="H33" s="24">
        <v>22.5</v>
      </c>
      <c r="I33" s="24" t="s">
        <v>288</v>
      </c>
      <c r="J33" t="s">
        <v>290</v>
      </c>
    </row>
    <row r="34" spans="1:10">
      <c r="A34" s="24" t="s">
        <v>182</v>
      </c>
      <c r="B34">
        <v>8</v>
      </c>
      <c r="C34">
        <v>1.1779999999999999</v>
      </c>
      <c r="D34" s="15" t="s">
        <v>19</v>
      </c>
      <c r="E34" s="24" t="s">
        <v>30</v>
      </c>
      <c r="F34" s="24" t="s">
        <v>287</v>
      </c>
      <c r="G34" s="24" t="s">
        <v>382</v>
      </c>
      <c r="H34" s="24">
        <v>22.5</v>
      </c>
      <c r="I34" s="24" t="s">
        <v>288</v>
      </c>
      <c r="J34" t="s">
        <v>290</v>
      </c>
    </row>
    <row r="35" spans="1:10">
      <c r="A35" s="24" t="s">
        <v>182</v>
      </c>
      <c r="B35">
        <v>9</v>
      </c>
      <c r="C35">
        <v>1.653</v>
      </c>
      <c r="D35" s="15" t="s">
        <v>19</v>
      </c>
      <c r="E35" s="24" t="s">
        <v>30</v>
      </c>
      <c r="F35" s="24" t="s">
        <v>287</v>
      </c>
      <c r="G35" s="24" t="s">
        <v>382</v>
      </c>
      <c r="H35" s="24">
        <v>22.5</v>
      </c>
      <c r="I35" s="24" t="s">
        <v>288</v>
      </c>
      <c r="J35" t="s">
        <v>290</v>
      </c>
    </row>
    <row r="36" spans="1:10">
      <c r="A36" s="24" t="s">
        <v>182</v>
      </c>
      <c r="B36">
        <v>11</v>
      </c>
      <c r="C36">
        <v>3.4740000000000002</v>
      </c>
      <c r="D36" s="15" t="s">
        <v>19</v>
      </c>
      <c r="E36" s="24" t="s">
        <v>30</v>
      </c>
      <c r="F36" s="24" t="s">
        <v>287</v>
      </c>
      <c r="G36" s="24" t="s">
        <v>382</v>
      </c>
      <c r="H36" s="24">
        <v>22.5</v>
      </c>
      <c r="I36" s="24" t="s">
        <v>288</v>
      </c>
      <c r="J36" t="s">
        <v>290</v>
      </c>
    </row>
    <row r="38" spans="1:10">
      <c r="A38" s="24" t="s">
        <v>182</v>
      </c>
      <c r="B38">
        <v>6.5</v>
      </c>
      <c r="C38">
        <v>0.30499999999999999</v>
      </c>
      <c r="D38" s="15" t="s">
        <v>19</v>
      </c>
      <c r="E38" s="24" t="s">
        <v>30</v>
      </c>
      <c r="F38" s="24" t="s">
        <v>287</v>
      </c>
      <c r="G38" s="24" t="s">
        <v>382</v>
      </c>
      <c r="H38" s="24">
        <v>22.5</v>
      </c>
      <c r="I38" s="24" t="s">
        <v>288</v>
      </c>
      <c r="J38" t="s">
        <v>291</v>
      </c>
    </row>
    <row r="39" spans="1:10">
      <c r="A39" s="24" t="s">
        <v>182</v>
      </c>
      <c r="B39">
        <v>7.5</v>
      </c>
      <c r="C39">
        <v>0.84799999999999998</v>
      </c>
      <c r="D39" s="15" t="s">
        <v>19</v>
      </c>
      <c r="E39" s="24" t="s">
        <v>30</v>
      </c>
      <c r="F39" s="24" t="s">
        <v>287</v>
      </c>
      <c r="G39" s="24" t="s">
        <v>382</v>
      </c>
      <c r="H39" s="24">
        <v>22.5</v>
      </c>
      <c r="I39" s="24" t="s">
        <v>288</v>
      </c>
      <c r="J39" t="s">
        <v>291</v>
      </c>
    </row>
    <row r="40" spans="1:10">
      <c r="A40" s="24" t="s">
        <v>182</v>
      </c>
      <c r="B40">
        <v>9.5</v>
      </c>
      <c r="C40">
        <v>1.95</v>
      </c>
      <c r="D40" s="15" t="s">
        <v>19</v>
      </c>
      <c r="E40" s="24" t="s">
        <v>30</v>
      </c>
      <c r="F40" s="24" t="s">
        <v>287</v>
      </c>
      <c r="G40" s="24" t="s">
        <v>382</v>
      </c>
      <c r="H40" s="24">
        <v>22.5</v>
      </c>
      <c r="I40" s="24" t="s">
        <v>288</v>
      </c>
      <c r="J40" t="s">
        <v>291</v>
      </c>
    </row>
    <row r="41" spans="1:10">
      <c r="A41" s="24" t="s">
        <v>182</v>
      </c>
      <c r="B41">
        <v>11.5</v>
      </c>
      <c r="C41">
        <v>3.9</v>
      </c>
      <c r="D41" s="15" t="s">
        <v>19</v>
      </c>
      <c r="E41" s="24" t="s">
        <v>30</v>
      </c>
      <c r="F41" s="24" t="s">
        <v>287</v>
      </c>
      <c r="G41" s="24" t="s">
        <v>382</v>
      </c>
      <c r="H41" s="24">
        <v>22.5</v>
      </c>
      <c r="I41" s="24" t="s">
        <v>288</v>
      </c>
      <c r="J41" t="s">
        <v>291</v>
      </c>
    </row>
    <row r="43" spans="1:10">
      <c r="A43" s="24" t="s">
        <v>301</v>
      </c>
      <c r="B43">
        <v>18</v>
      </c>
      <c r="C43">
        <v>3.085</v>
      </c>
      <c r="D43" t="s">
        <v>297</v>
      </c>
      <c r="E43" t="s">
        <v>298</v>
      </c>
      <c r="F43" t="s">
        <v>299</v>
      </c>
      <c r="G43" t="s">
        <v>383</v>
      </c>
      <c r="H43" s="24">
        <v>22.5</v>
      </c>
      <c r="I43" s="24" t="s">
        <v>288</v>
      </c>
      <c r="J43" t="s">
        <v>300</v>
      </c>
    </row>
    <row r="44" spans="1:10">
      <c r="A44" s="24" t="s">
        <v>301</v>
      </c>
      <c r="B44">
        <v>30</v>
      </c>
      <c r="C44">
        <v>3.2370000000000001</v>
      </c>
      <c r="D44" t="s">
        <v>297</v>
      </c>
      <c r="E44" t="s">
        <v>298</v>
      </c>
      <c r="F44" t="s">
        <v>299</v>
      </c>
      <c r="G44" t="s">
        <v>383</v>
      </c>
      <c r="H44" s="24">
        <v>22.5</v>
      </c>
      <c r="I44" s="24" t="s">
        <v>288</v>
      </c>
      <c r="J44" t="s">
        <v>300</v>
      </c>
    </row>
    <row r="45" spans="1:10">
      <c r="A45" s="24" t="s">
        <v>301</v>
      </c>
      <c r="B45">
        <v>45.5</v>
      </c>
      <c r="C45">
        <v>2.7869999999999999</v>
      </c>
      <c r="D45" t="s">
        <v>297</v>
      </c>
      <c r="E45" t="s">
        <v>298</v>
      </c>
      <c r="F45" t="s">
        <v>299</v>
      </c>
      <c r="G45" t="s">
        <v>383</v>
      </c>
      <c r="H45" s="24">
        <v>22.5</v>
      </c>
      <c r="I45" s="24" t="s">
        <v>288</v>
      </c>
      <c r="J45" t="s">
        <v>300</v>
      </c>
    </row>
  </sheetData>
  <phoneticPr fontId="4" type="noConversion"/>
  <conditionalFormatting sqref="K1:K1048576">
    <cfRule type="notContainsBlanks" dxfId="0" priority="1">
      <formula>LEN(TRIM(K1))&gt;0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E3D0-DD1A-4AD2-8DB4-00BC7547E59C}">
  <dimension ref="A1:C9"/>
  <sheetViews>
    <sheetView workbookViewId="0">
      <selection activeCell="B17" sqref="B17"/>
    </sheetView>
  </sheetViews>
  <sheetFormatPr defaultRowHeight="14.4"/>
  <cols>
    <col min="1" max="1" width="2.77734375" customWidth="1"/>
    <col min="2" max="2" width="137.21875" customWidth="1"/>
  </cols>
  <sheetData>
    <row r="1" spans="1:3" s="2" customFormat="1">
      <c r="A1" s="2" t="s">
        <v>0</v>
      </c>
      <c r="B1" s="2" t="s">
        <v>318</v>
      </c>
      <c r="C1" s="2" t="s">
        <v>17</v>
      </c>
    </row>
    <row r="2" spans="1:3" ht="41.4">
      <c r="A2" s="28">
        <v>1</v>
      </c>
      <c r="B2" s="27" t="s">
        <v>361</v>
      </c>
      <c r="C2" s="28" t="s">
        <v>319</v>
      </c>
    </row>
    <row r="3" spans="1:3">
      <c r="A3" s="28">
        <v>2</v>
      </c>
      <c r="B3" s="29" t="s">
        <v>360</v>
      </c>
      <c r="C3" s="28" t="s">
        <v>368</v>
      </c>
    </row>
    <row r="4" spans="1:3" ht="41.4">
      <c r="A4" s="28">
        <v>3</v>
      </c>
      <c r="B4" s="27" t="s">
        <v>369</v>
      </c>
      <c r="C4" s="28" t="s">
        <v>367</v>
      </c>
    </row>
    <row r="5" spans="1:3" ht="27.6">
      <c r="A5" s="28">
        <v>4</v>
      </c>
      <c r="B5" s="27" t="s">
        <v>371</v>
      </c>
      <c r="C5" s="28" t="s">
        <v>370</v>
      </c>
    </row>
    <row r="6" spans="1:3">
      <c r="B6" s="25"/>
    </row>
    <row r="7" spans="1:3">
      <c r="B7" s="25"/>
    </row>
    <row r="8" spans="1:3">
      <c r="B8" s="25"/>
    </row>
    <row r="9" spans="1:3">
      <c r="B9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1D0B-8EE1-40DE-8126-3191C8719859}">
  <dimension ref="A1:K16"/>
  <sheetViews>
    <sheetView workbookViewId="0">
      <pane ySplit="1" topLeftCell="A2" activePane="bottomLeft" state="frozen"/>
      <selection pane="bottomLeft" activeCell="D18" sqref="D18"/>
    </sheetView>
  </sheetViews>
  <sheetFormatPr defaultRowHeight="14.4"/>
  <cols>
    <col min="1" max="1" width="13.88671875" customWidth="1"/>
    <col min="2" max="2" width="11.88671875" customWidth="1"/>
    <col min="4" max="4" width="15.77734375" customWidth="1"/>
    <col min="5" max="5" width="12" customWidth="1"/>
    <col min="7" max="7" width="54.5546875" customWidth="1"/>
    <col min="8" max="8" width="24.6640625" customWidth="1"/>
  </cols>
  <sheetData>
    <row r="1" spans="1:11" s="2" customFormat="1">
      <c r="A1" s="2" t="s">
        <v>17</v>
      </c>
      <c r="B1" s="2" t="s">
        <v>6</v>
      </c>
      <c r="C1" s="2" t="s">
        <v>14</v>
      </c>
      <c r="D1" s="2" t="s">
        <v>3</v>
      </c>
      <c r="E1" s="2" t="s">
        <v>51</v>
      </c>
      <c r="F1" s="2" t="s">
        <v>4</v>
      </c>
      <c r="G1" s="2" t="s">
        <v>46</v>
      </c>
      <c r="H1" s="2" t="s">
        <v>256</v>
      </c>
      <c r="I1" s="2" t="s">
        <v>49</v>
      </c>
      <c r="J1" s="2" t="s">
        <v>268</v>
      </c>
      <c r="K1" s="2" t="s">
        <v>269</v>
      </c>
    </row>
    <row r="2" spans="1:11" s="1" customFormat="1">
      <c r="A2" s="1" t="s">
        <v>41</v>
      </c>
      <c r="B2" s="19" t="s">
        <v>9</v>
      </c>
      <c r="C2" s="1" t="s">
        <v>45</v>
      </c>
      <c r="D2" s="1" t="s">
        <v>58</v>
      </c>
      <c r="E2" s="1" t="s">
        <v>48</v>
      </c>
      <c r="F2" s="1">
        <v>2002</v>
      </c>
      <c r="G2" s="1" t="s">
        <v>10</v>
      </c>
      <c r="H2" s="1" t="s">
        <v>257</v>
      </c>
      <c r="I2" s="1" t="s">
        <v>50</v>
      </c>
      <c r="J2" s="1">
        <v>88</v>
      </c>
      <c r="K2" s="1" t="s">
        <v>263</v>
      </c>
    </row>
    <row r="3" spans="1:11" s="1" customFormat="1">
      <c r="A3" s="1" t="s">
        <v>234</v>
      </c>
      <c r="B3" s="20" t="s">
        <v>9</v>
      </c>
      <c r="C3" s="1" t="s">
        <v>45</v>
      </c>
      <c r="D3" s="1" t="s">
        <v>58</v>
      </c>
      <c r="E3" s="1" t="s">
        <v>235</v>
      </c>
      <c r="F3" s="1">
        <v>2007</v>
      </c>
      <c r="G3" s="1" t="s">
        <v>12</v>
      </c>
      <c r="H3" s="1" t="s">
        <v>258</v>
      </c>
      <c r="I3" s="1" t="s">
        <v>236</v>
      </c>
      <c r="J3" s="1">
        <v>32</v>
      </c>
      <c r="K3" s="1" t="s">
        <v>264</v>
      </c>
    </row>
    <row r="4" spans="1:11" s="1" customFormat="1">
      <c r="A4" s="1" t="s">
        <v>255</v>
      </c>
      <c r="B4" s="19" t="s">
        <v>8</v>
      </c>
      <c r="C4" s="1" t="s">
        <v>63</v>
      </c>
      <c r="D4" s="4" t="s">
        <v>244</v>
      </c>
      <c r="E4" s="1" t="s">
        <v>52</v>
      </c>
      <c r="F4" s="1">
        <v>1956</v>
      </c>
      <c r="G4" s="1" t="s">
        <v>5</v>
      </c>
      <c r="H4" s="1" t="s">
        <v>259</v>
      </c>
      <c r="J4" s="1">
        <v>65</v>
      </c>
      <c r="K4" s="1" t="s">
        <v>265</v>
      </c>
    </row>
    <row r="5" spans="1:11" s="4" customFormat="1">
      <c r="A5" s="4" t="s">
        <v>222</v>
      </c>
      <c r="B5" s="20" t="s">
        <v>9</v>
      </c>
      <c r="C5" s="4" t="s">
        <v>15</v>
      </c>
      <c r="D5" s="4" t="s">
        <v>376</v>
      </c>
      <c r="E5" s="4" t="s">
        <v>223</v>
      </c>
      <c r="F5" s="4">
        <v>2016</v>
      </c>
      <c r="G5" s="4" t="s">
        <v>13</v>
      </c>
      <c r="H5" s="4" t="s">
        <v>260</v>
      </c>
      <c r="I5" s="4" t="s">
        <v>224</v>
      </c>
      <c r="J5" s="4">
        <v>9</v>
      </c>
      <c r="K5" s="4">
        <v>65</v>
      </c>
    </row>
    <row r="6" spans="1:11" s="1" customFormat="1">
      <c r="A6" s="1" t="s">
        <v>64</v>
      </c>
      <c r="B6" s="1" t="s">
        <v>8</v>
      </c>
      <c r="D6" s="1" t="s">
        <v>245</v>
      </c>
      <c r="E6" s="1" t="s">
        <v>65</v>
      </c>
      <c r="F6" s="1">
        <v>2014</v>
      </c>
      <c r="G6" s="1" t="s">
        <v>7</v>
      </c>
      <c r="H6" s="1" t="s">
        <v>261</v>
      </c>
      <c r="I6" s="1" t="s">
        <v>66</v>
      </c>
      <c r="J6" s="1">
        <v>87</v>
      </c>
      <c r="K6" s="1" t="s">
        <v>266</v>
      </c>
    </row>
    <row r="7" spans="1:11" s="1" customFormat="1">
      <c r="A7" s="1" t="s">
        <v>53</v>
      </c>
      <c r="B7" s="19" t="s">
        <v>9</v>
      </c>
      <c r="C7" s="1" t="s">
        <v>45</v>
      </c>
      <c r="D7" s="1" t="s">
        <v>47</v>
      </c>
      <c r="E7" s="1" t="s">
        <v>55</v>
      </c>
      <c r="F7" s="1">
        <v>2010</v>
      </c>
      <c r="G7" s="1" t="s">
        <v>11</v>
      </c>
      <c r="H7" s="1" t="s">
        <v>262</v>
      </c>
      <c r="I7" s="1" t="s">
        <v>54</v>
      </c>
      <c r="J7" s="1">
        <v>116</v>
      </c>
      <c r="K7" s="1" t="s">
        <v>267</v>
      </c>
    </row>
    <row r="8" spans="1:11">
      <c r="A8" s="1" t="s">
        <v>270</v>
      </c>
      <c r="B8" s="1" t="s">
        <v>271</v>
      </c>
      <c r="C8" s="1" t="s">
        <v>45</v>
      </c>
      <c r="D8" s="1" t="s">
        <v>277</v>
      </c>
      <c r="E8" s="1" t="s">
        <v>272</v>
      </c>
      <c r="F8" s="1">
        <v>2016</v>
      </c>
      <c r="G8" t="s">
        <v>273</v>
      </c>
      <c r="H8" s="1" t="s">
        <v>274</v>
      </c>
      <c r="I8" s="1" t="s">
        <v>275</v>
      </c>
      <c r="J8" s="1">
        <v>78</v>
      </c>
      <c r="K8" t="s">
        <v>276</v>
      </c>
    </row>
    <row r="9" spans="1:11">
      <c r="A9" s="1" t="s">
        <v>288</v>
      </c>
      <c r="B9" s="20" t="s">
        <v>9</v>
      </c>
      <c r="C9" s="1" t="s">
        <v>63</v>
      </c>
      <c r="D9" s="1" t="s">
        <v>47</v>
      </c>
      <c r="E9" s="1" t="s">
        <v>292</v>
      </c>
      <c r="F9" s="1">
        <v>1958</v>
      </c>
      <c r="G9" s="1" t="s">
        <v>295</v>
      </c>
      <c r="H9" s="1" t="s">
        <v>294</v>
      </c>
      <c r="I9" s="1" t="s">
        <v>296</v>
      </c>
      <c r="J9" s="1">
        <v>2</v>
      </c>
      <c r="K9" t="s">
        <v>293</v>
      </c>
    </row>
    <row r="10" spans="1:11">
      <c r="A10" s="1" t="s">
        <v>302</v>
      </c>
      <c r="B10" s="1" t="s">
        <v>271</v>
      </c>
      <c r="C10" s="4" t="s">
        <v>15</v>
      </c>
      <c r="D10" s="1" t="s">
        <v>58</v>
      </c>
      <c r="E10" s="1" t="s">
        <v>303</v>
      </c>
      <c r="F10" s="1">
        <v>1984</v>
      </c>
      <c r="G10" s="1" t="s">
        <v>304</v>
      </c>
      <c r="H10" s="1" t="s">
        <v>306</v>
      </c>
      <c r="J10">
        <v>86</v>
      </c>
      <c r="K10" t="s">
        <v>305</v>
      </c>
    </row>
    <row r="11" spans="1:11">
      <c r="A11" s="1" t="s">
        <v>319</v>
      </c>
      <c r="B11" s="1" t="s">
        <v>323</v>
      </c>
      <c r="C11" s="1" t="s">
        <v>45</v>
      </c>
      <c r="D11" s="1" t="s">
        <v>320</v>
      </c>
      <c r="E11" s="1" t="s">
        <v>321</v>
      </c>
      <c r="F11" s="1">
        <v>2010</v>
      </c>
      <c r="G11" s="24" t="s">
        <v>322</v>
      </c>
      <c r="H11" s="15" t="s">
        <v>331</v>
      </c>
      <c r="I11" s="15" t="s">
        <v>324</v>
      </c>
      <c r="J11" s="1"/>
      <c r="K11" s="1"/>
    </row>
    <row r="12" spans="1:11">
      <c r="A12" s="1" t="s">
        <v>326</v>
      </c>
      <c r="B12" s="1" t="s">
        <v>271</v>
      </c>
      <c r="C12" s="1" t="s">
        <v>63</v>
      </c>
      <c r="D12" s="1" t="s">
        <v>47</v>
      </c>
      <c r="E12" s="1" t="s">
        <v>325</v>
      </c>
      <c r="F12" s="1">
        <v>1938</v>
      </c>
      <c r="G12" s="24" t="s">
        <v>327</v>
      </c>
      <c r="H12" s="15" t="s">
        <v>328</v>
      </c>
      <c r="I12" s="15" t="s">
        <v>330</v>
      </c>
      <c r="J12">
        <v>87</v>
      </c>
      <c r="K12" t="s">
        <v>329</v>
      </c>
    </row>
    <row r="13" spans="1:11">
      <c r="A13" s="1" t="s">
        <v>313</v>
      </c>
      <c r="B13" s="1" t="s">
        <v>271</v>
      </c>
      <c r="D13" s="1" t="s">
        <v>58</v>
      </c>
      <c r="E13" s="1" t="s">
        <v>344</v>
      </c>
      <c r="F13" s="1">
        <v>2012</v>
      </c>
      <c r="G13" s="24" t="s">
        <v>338</v>
      </c>
      <c r="H13" s="15" t="s">
        <v>337</v>
      </c>
      <c r="I13" s="15" t="s">
        <v>343</v>
      </c>
      <c r="J13">
        <v>51</v>
      </c>
      <c r="K13" t="s">
        <v>345</v>
      </c>
    </row>
    <row r="14" spans="1:11">
      <c r="A14" s="1" t="s">
        <v>346</v>
      </c>
      <c r="B14" s="1" t="s">
        <v>271</v>
      </c>
      <c r="C14" s="1" t="s">
        <v>45</v>
      </c>
      <c r="D14" s="1" t="s">
        <v>58</v>
      </c>
      <c r="E14" s="1" t="s">
        <v>339</v>
      </c>
      <c r="F14">
        <v>2019</v>
      </c>
      <c r="G14" t="s">
        <v>336</v>
      </c>
      <c r="H14" s="15" t="s">
        <v>341</v>
      </c>
      <c r="I14" s="15" t="s">
        <v>342</v>
      </c>
      <c r="J14">
        <v>56</v>
      </c>
      <c r="K14" t="s">
        <v>340</v>
      </c>
    </row>
    <row r="15" spans="1:11">
      <c r="A15" s="1" t="s">
        <v>358</v>
      </c>
      <c r="B15" s="1" t="s">
        <v>323</v>
      </c>
      <c r="C15" s="1" t="s">
        <v>45</v>
      </c>
      <c r="D15" s="1" t="s">
        <v>320</v>
      </c>
      <c r="E15" s="1" t="s">
        <v>357</v>
      </c>
      <c r="F15">
        <v>1988</v>
      </c>
      <c r="G15" t="s">
        <v>356</v>
      </c>
      <c r="H15" s="15" t="s">
        <v>359</v>
      </c>
      <c r="J15" s="1"/>
      <c r="K15" s="1"/>
    </row>
    <row r="16" spans="1:11">
      <c r="A16" s="1" t="s">
        <v>366</v>
      </c>
      <c r="B16" s="20" t="s">
        <v>9</v>
      </c>
      <c r="D16" s="1" t="s">
        <v>47</v>
      </c>
      <c r="E16" s="1" t="s">
        <v>365</v>
      </c>
      <c r="F16">
        <v>2016</v>
      </c>
      <c r="G16" s="24" t="s">
        <v>362</v>
      </c>
      <c r="H16" t="s">
        <v>363</v>
      </c>
      <c r="I16" t="s">
        <v>364</v>
      </c>
      <c r="J16">
        <v>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AA06-B1E2-4FFE-B2A6-2658C687E55B}">
  <dimension ref="A1:J66"/>
  <sheetViews>
    <sheetView workbookViewId="0">
      <pane ySplit="2" topLeftCell="A34" activePane="bottomLeft" state="frozen"/>
      <selection pane="bottomLeft" activeCell="B1" sqref="B1:B1048576"/>
    </sheetView>
  </sheetViews>
  <sheetFormatPr defaultRowHeight="14.4"/>
  <cols>
    <col min="1" max="1" width="12.6640625" customWidth="1"/>
    <col min="2" max="2" width="33.5546875" customWidth="1"/>
    <col min="6" max="6" width="11" customWidth="1"/>
    <col min="7" max="7" width="12.109375" customWidth="1"/>
    <col min="8" max="8" width="17.6640625" customWidth="1"/>
  </cols>
  <sheetData>
    <row r="1" spans="1:10" s="15" customFormat="1" ht="28.8">
      <c r="A1" s="12" t="s">
        <v>58</v>
      </c>
      <c r="B1" s="14" t="s">
        <v>226</v>
      </c>
      <c r="C1" s="13"/>
      <c r="F1" s="18" t="s">
        <v>47</v>
      </c>
      <c r="G1" s="16" t="s">
        <v>225</v>
      </c>
      <c r="H1" s="17"/>
      <c r="I1" s="17"/>
      <c r="J1" s="17"/>
    </row>
    <row r="2" spans="1:10" s="6" customFormat="1">
      <c r="A2" s="6" t="s">
        <v>68</v>
      </c>
      <c r="B2" s="6" t="s">
        <v>16</v>
      </c>
      <c r="C2" s="6" t="s">
        <v>28</v>
      </c>
      <c r="F2" s="11" t="s">
        <v>172</v>
      </c>
      <c r="G2" s="2" t="s">
        <v>214</v>
      </c>
      <c r="H2" s="6" t="s">
        <v>215</v>
      </c>
      <c r="I2" s="2" t="s">
        <v>216</v>
      </c>
      <c r="J2" s="6" t="s">
        <v>217</v>
      </c>
    </row>
    <row r="3" spans="1:10">
      <c r="A3" s="10" t="s">
        <v>69</v>
      </c>
      <c r="B3" t="s">
        <v>70</v>
      </c>
      <c r="C3" t="s">
        <v>19</v>
      </c>
      <c r="F3" s="10" t="s">
        <v>173</v>
      </c>
      <c r="G3" t="s">
        <v>203</v>
      </c>
      <c r="H3" t="s">
        <v>204</v>
      </c>
      <c r="I3" t="s">
        <v>200</v>
      </c>
      <c r="J3" t="s">
        <v>201</v>
      </c>
    </row>
    <row r="4" spans="1:10">
      <c r="A4" s="10" t="s">
        <v>18</v>
      </c>
      <c r="B4" t="s">
        <v>71</v>
      </c>
      <c r="C4" t="s">
        <v>19</v>
      </c>
      <c r="F4" s="10" t="s">
        <v>174</v>
      </c>
      <c r="G4" t="s">
        <v>203</v>
      </c>
      <c r="H4" t="s">
        <v>204</v>
      </c>
      <c r="I4" t="s">
        <v>200</v>
      </c>
      <c r="J4" t="s">
        <v>201</v>
      </c>
    </row>
    <row r="5" spans="1:10">
      <c r="A5" s="10" t="s">
        <v>72</v>
      </c>
      <c r="B5" t="s">
        <v>73</v>
      </c>
      <c r="C5" t="s">
        <v>19</v>
      </c>
      <c r="F5" s="10" t="s">
        <v>175</v>
      </c>
      <c r="G5" t="s">
        <v>203</v>
      </c>
      <c r="H5" t="s">
        <v>204</v>
      </c>
      <c r="I5" t="s">
        <v>200</v>
      </c>
      <c r="J5" t="s">
        <v>201</v>
      </c>
    </row>
    <row r="6" spans="1:10">
      <c r="A6" s="10" t="s">
        <v>24</v>
      </c>
      <c r="B6" t="s">
        <v>74</v>
      </c>
      <c r="C6" t="s">
        <v>19</v>
      </c>
      <c r="F6" s="10" t="s">
        <v>176</v>
      </c>
      <c r="G6" t="s">
        <v>203</v>
      </c>
      <c r="H6" t="s">
        <v>205</v>
      </c>
      <c r="I6" t="s">
        <v>200</v>
      </c>
      <c r="J6" t="s">
        <v>201</v>
      </c>
    </row>
    <row r="7" spans="1:10">
      <c r="A7" s="10" t="s">
        <v>25</v>
      </c>
      <c r="B7" t="s">
        <v>75</v>
      </c>
      <c r="C7" t="s">
        <v>19</v>
      </c>
      <c r="F7" s="10" t="s">
        <v>177</v>
      </c>
      <c r="G7" t="s">
        <v>203</v>
      </c>
      <c r="H7" t="s">
        <v>205</v>
      </c>
      <c r="I7" t="s">
        <v>200</v>
      </c>
      <c r="J7" t="s">
        <v>201</v>
      </c>
    </row>
    <row r="8" spans="1:10">
      <c r="A8" s="10" t="s">
        <v>26</v>
      </c>
      <c r="B8" t="s">
        <v>76</v>
      </c>
      <c r="C8" t="s">
        <v>19</v>
      </c>
      <c r="F8" s="10" t="s">
        <v>178</v>
      </c>
      <c r="G8" t="s">
        <v>203</v>
      </c>
      <c r="H8" t="s">
        <v>205</v>
      </c>
      <c r="I8" t="s">
        <v>200</v>
      </c>
      <c r="J8" t="s">
        <v>201</v>
      </c>
    </row>
    <row r="9" spans="1:10">
      <c r="A9" s="10" t="s">
        <v>27</v>
      </c>
      <c r="B9" t="s">
        <v>77</v>
      </c>
      <c r="C9" t="s">
        <v>19</v>
      </c>
      <c r="F9" s="10" t="s">
        <v>179</v>
      </c>
      <c r="G9" t="s">
        <v>206</v>
      </c>
      <c r="H9" t="s">
        <v>207</v>
      </c>
      <c r="I9" t="s">
        <v>19</v>
      </c>
      <c r="J9" t="s">
        <v>200</v>
      </c>
    </row>
    <row r="10" spans="1:10">
      <c r="A10" s="10" t="s">
        <v>78</v>
      </c>
      <c r="B10" t="s">
        <v>79</v>
      </c>
      <c r="C10" t="s">
        <v>19</v>
      </c>
      <c r="F10" s="10" t="s">
        <v>180</v>
      </c>
      <c r="G10" t="s">
        <v>206</v>
      </c>
      <c r="H10" t="s">
        <v>207</v>
      </c>
      <c r="I10" t="s">
        <v>19</v>
      </c>
      <c r="J10" t="s">
        <v>200</v>
      </c>
    </row>
    <row r="11" spans="1:10">
      <c r="A11" s="10" t="s">
        <v>80</v>
      </c>
      <c r="B11" t="s">
        <v>81</v>
      </c>
      <c r="C11" t="s">
        <v>19</v>
      </c>
      <c r="F11" s="10" t="s">
        <v>181</v>
      </c>
      <c r="G11" t="s">
        <v>206</v>
      </c>
      <c r="H11" t="s">
        <v>207</v>
      </c>
      <c r="I11" t="s">
        <v>19</v>
      </c>
      <c r="J11" t="s">
        <v>200</v>
      </c>
    </row>
    <row r="12" spans="1:10">
      <c r="A12" s="10" t="s">
        <v>20</v>
      </c>
      <c r="B12" t="s">
        <v>82</v>
      </c>
      <c r="C12" t="s">
        <v>19</v>
      </c>
      <c r="F12" s="10" t="s">
        <v>182</v>
      </c>
      <c r="G12" t="s">
        <v>206</v>
      </c>
      <c r="H12" t="s">
        <v>204</v>
      </c>
      <c r="I12" t="s">
        <v>19</v>
      </c>
      <c r="J12" t="s">
        <v>201</v>
      </c>
    </row>
    <row r="13" spans="1:10">
      <c r="A13" s="10" t="s">
        <v>83</v>
      </c>
      <c r="B13" t="s">
        <v>84</v>
      </c>
      <c r="C13" t="s">
        <v>19</v>
      </c>
      <c r="F13" s="10" t="s">
        <v>183</v>
      </c>
      <c r="G13" t="s">
        <v>206</v>
      </c>
      <c r="H13" t="s">
        <v>204</v>
      </c>
      <c r="I13" t="s">
        <v>19</v>
      </c>
      <c r="J13" t="s">
        <v>201</v>
      </c>
    </row>
    <row r="14" spans="1:10">
      <c r="A14" s="10" t="s">
        <v>85</v>
      </c>
      <c r="B14" t="s">
        <v>86</v>
      </c>
      <c r="C14" t="s">
        <v>19</v>
      </c>
      <c r="F14" s="10" t="s">
        <v>184</v>
      </c>
      <c r="G14" t="s">
        <v>206</v>
      </c>
      <c r="H14" t="s">
        <v>204</v>
      </c>
      <c r="I14" t="s">
        <v>19</v>
      </c>
      <c r="J14" t="s">
        <v>201</v>
      </c>
    </row>
    <row r="15" spans="1:10">
      <c r="A15" s="10" t="s">
        <v>87</v>
      </c>
      <c r="B15" t="s">
        <v>88</v>
      </c>
      <c r="C15" t="s">
        <v>19</v>
      </c>
      <c r="F15" s="10" t="s">
        <v>185</v>
      </c>
      <c r="G15" t="s">
        <v>206</v>
      </c>
      <c r="H15" t="s">
        <v>205</v>
      </c>
      <c r="I15" t="s">
        <v>19</v>
      </c>
      <c r="J15" t="s">
        <v>201</v>
      </c>
    </row>
    <row r="16" spans="1:10">
      <c r="A16" s="10" t="s">
        <v>21</v>
      </c>
      <c r="B16" t="s">
        <v>89</v>
      </c>
      <c r="C16" t="s">
        <v>19</v>
      </c>
      <c r="F16" s="10" t="s">
        <v>186</v>
      </c>
      <c r="G16" t="s">
        <v>206</v>
      </c>
      <c r="H16" t="s">
        <v>205</v>
      </c>
      <c r="I16" t="s">
        <v>19</v>
      </c>
      <c r="J16" t="s">
        <v>201</v>
      </c>
    </row>
    <row r="17" spans="1:10">
      <c r="A17" s="10" t="s">
        <v>22</v>
      </c>
      <c r="B17" t="s">
        <v>90</v>
      </c>
      <c r="C17" t="s">
        <v>19</v>
      </c>
      <c r="F17" s="10" t="s">
        <v>187</v>
      </c>
      <c r="G17" t="s">
        <v>206</v>
      </c>
      <c r="H17" t="s">
        <v>205</v>
      </c>
      <c r="I17" t="s">
        <v>19</v>
      </c>
      <c r="J17" t="s">
        <v>201</v>
      </c>
    </row>
    <row r="18" spans="1:10">
      <c r="A18" s="10" t="s">
        <v>91</v>
      </c>
      <c r="B18" t="s">
        <v>92</v>
      </c>
      <c r="C18" t="s">
        <v>200</v>
      </c>
      <c r="F18" s="10" t="s">
        <v>188</v>
      </c>
      <c r="G18" t="s">
        <v>203</v>
      </c>
      <c r="H18" t="s">
        <v>208</v>
      </c>
      <c r="I18" t="s">
        <v>200</v>
      </c>
      <c r="J18" t="s">
        <v>218</v>
      </c>
    </row>
    <row r="19" spans="1:10">
      <c r="A19" s="10" t="s">
        <v>93</v>
      </c>
      <c r="B19" t="s">
        <v>94</v>
      </c>
      <c r="C19" t="s">
        <v>200</v>
      </c>
      <c r="F19" s="10" t="s">
        <v>189</v>
      </c>
      <c r="G19" t="s">
        <v>203</v>
      </c>
      <c r="H19" t="s">
        <v>208</v>
      </c>
      <c r="I19" t="s">
        <v>200</v>
      </c>
      <c r="J19" t="s">
        <v>218</v>
      </c>
    </row>
    <row r="20" spans="1:10">
      <c r="A20" s="10" t="s">
        <v>35</v>
      </c>
      <c r="B20" t="s">
        <v>95</v>
      </c>
      <c r="C20" t="s">
        <v>200</v>
      </c>
      <c r="F20" s="10" t="s">
        <v>190</v>
      </c>
      <c r="G20" t="s">
        <v>203</v>
      </c>
      <c r="H20" t="s">
        <v>208</v>
      </c>
      <c r="I20" t="s">
        <v>200</v>
      </c>
      <c r="J20" t="s">
        <v>218</v>
      </c>
    </row>
    <row r="21" spans="1:10">
      <c r="A21" s="10" t="s">
        <v>36</v>
      </c>
      <c r="B21" t="s">
        <v>96</v>
      </c>
      <c r="C21" t="s">
        <v>200</v>
      </c>
      <c r="F21" s="10" t="s">
        <v>191</v>
      </c>
      <c r="G21" t="s">
        <v>203</v>
      </c>
      <c r="H21" t="s">
        <v>209</v>
      </c>
      <c r="I21" t="s">
        <v>200</v>
      </c>
      <c r="J21" t="s">
        <v>219</v>
      </c>
    </row>
    <row r="22" spans="1:10">
      <c r="A22" s="10" t="s">
        <v>37</v>
      </c>
      <c r="B22" t="s">
        <v>97</v>
      </c>
      <c r="C22" t="s">
        <v>200</v>
      </c>
      <c r="F22" s="10" t="s">
        <v>192</v>
      </c>
      <c r="G22" t="s">
        <v>210</v>
      </c>
      <c r="H22" t="s">
        <v>209</v>
      </c>
      <c r="I22" t="s">
        <v>201</v>
      </c>
      <c r="J22" t="s">
        <v>219</v>
      </c>
    </row>
    <row r="23" spans="1:10">
      <c r="A23" s="10" t="s">
        <v>38</v>
      </c>
      <c r="B23" t="s">
        <v>98</v>
      </c>
      <c r="C23" t="s">
        <v>200</v>
      </c>
      <c r="F23" s="10" t="s">
        <v>193</v>
      </c>
      <c r="G23" t="s">
        <v>211</v>
      </c>
      <c r="H23" t="s">
        <v>209</v>
      </c>
      <c r="I23" t="s">
        <v>201</v>
      </c>
      <c r="J23" t="s">
        <v>219</v>
      </c>
    </row>
    <row r="24" spans="1:10">
      <c r="A24" s="10" t="s">
        <v>99</v>
      </c>
      <c r="B24" t="s">
        <v>100</v>
      </c>
      <c r="C24" t="s">
        <v>200</v>
      </c>
      <c r="F24" s="10" t="s">
        <v>194</v>
      </c>
      <c r="G24" t="s">
        <v>203</v>
      </c>
      <c r="H24" t="s">
        <v>212</v>
      </c>
      <c r="I24" t="s">
        <v>200</v>
      </c>
      <c r="J24" t="s">
        <v>34</v>
      </c>
    </row>
    <row r="25" spans="1:10">
      <c r="A25" s="10" t="s">
        <v>101</v>
      </c>
      <c r="B25" t="s">
        <v>102</v>
      </c>
      <c r="C25" t="s">
        <v>200</v>
      </c>
      <c r="F25" s="10" t="s">
        <v>195</v>
      </c>
      <c r="G25" t="s">
        <v>210</v>
      </c>
      <c r="H25" t="s">
        <v>212</v>
      </c>
      <c r="I25" t="s">
        <v>201</v>
      </c>
      <c r="J25" t="s">
        <v>34</v>
      </c>
    </row>
    <row r="26" spans="1:10">
      <c r="A26" s="10" t="s">
        <v>103</v>
      </c>
      <c r="B26" t="s">
        <v>104</v>
      </c>
      <c r="C26" t="s">
        <v>200</v>
      </c>
      <c r="F26" s="10" t="s">
        <v>196</v>
      </c>
      <c r="G26" t="s">
        <v>211</v>
      </c>
      <c r="H26" t="s">
        <v>212</v>
      </c>
      <c r="I26" t="s">
        <v>201</v>
      </c>
      <c r="J26" t="s">
        <v>34</v>
      </c>
    </row>
    <row r="27" spans="1:10">
      <c r="A27" s="10" t="s">
        <v>105</v>
      </c>
      <c r="B27" t="s">
        <v>106</v>
      </c>
      <c r="C27" t="s">
        <v>200</v>
      </c>
      <c r="F27" s="10" t="s">
        <v>197</v>
      </c>
      <c r="G27" t="s">
        <v>203</v>
      </c>
      <c r="H27" t="s">
        <v>213</v>
      </c>
      <c r="I27" t="s">
        <v>200</v>
      </c>
      <c r="J27" t="s">
        <v>220</v>
      </c>
    </row>
    <row r="28" spans="1:10">
      <c r="A28" s="10" t="s">
        <v>107</v>
      </c>
      <c r="B28" t="s">
        <v>108</v>
      </c>
      <c r="C28" t="s">
        <v>200</v>
      </c>
      <c r="F28" s="10" t="s">
        <v>198</v>
      </c>
      <c r="G28" t="s">
        <v>210</v>
      </c>
      <c r="H28" t="s">
        <v>213</v>
      </c>
      <c r="I28" t="s">
        <v>201</v>
      </c>
      <c r="J28" t="s">
        <v>220</v>
      </c>
    </row>
    <row r="29" spans="1:10">
      <c r="A29" s="10" t="s">
        <v>109</v>
      </c>
      <c r="B29" t="s">
        <v>110</v>
      </c>
      <c r="C29" t="s">
        <v>200</v>
      </c>
      <c r="F29" s="10" t="s">
        <v>199</v>
      </c>
      <c r="G29" t="s">
        <v>211</v>
      </c>
      <c r="H29" t="s">
        <v>213</v>
      </c>
      <c r="I29" t="s">
        <v>201</v>
      </c>
      <c r="J29" t="s">
        <v>220</v>
      </c>
    </row>
    <row r="30" spans="1:10">
      <c r="A30" s="10" t="s">
        <v>111</v>
      </c>
      <c r="B30" t="s">
        <v>112</v>
      </c>
      <c r="C30" t="s">
        <v>200</v>
      </c>
    </row>
    <row r="31" spans="1:10">
      <c r="A31" s="10" t="s">
        <v>113</v>
      </c>
      <c r="B31" t="s">
        <v>114</v>
      </c>
      <c r="C31" t="s">
        <v>200</v>
      </c>
    </row>
    <row r="32" spans="1:10">
      <c r="A32" s="10" t="s">
        <v>29</v>
      </c>
      <c r="B32" t="s">
        <v>115</v>
      </c>
      <c r="C32" t="s">
        <v>201</v>
      </c>
    </row>
    <row r="33" spans="1:3">
      <c r="A33" s="10" t="s">
        <v>116</v>
      </c>
      <c r="B33" t="s">
        <v>117</v>
      </c>
      <c r="C33" t="s">
        <v>201</v>
      </c>
    </row>
    <row r="34" spans="1:3">
      <c r="A34" s="10" t="s">
        <v>118</v>
      </c>
      <c r="B34" t="s">
        <v>119</v>
      </c>
      <c r="C34" t="s">
        <v>201</v>
      </c>
    </row>
    <row r="35" spans="1:3">
      <c r="A35" s="10" t="s">
        <v>120</v>
      </c>
      <c r="B35" t="s">
        <v>121</v>
      </c>
      <c r="C35" t="s">
        <v>201</v>
      </c>
    </row>
    <row r="36" spans="1:3">
      <c r="A36" s="10" t="s">
        <v>122</v>
      </c>
      <c r="B36" t="s">
        <v>123</v>
      </c>
      <c r="C36" t="s">
        <v>201</v>
      </c>
    </row>
    <row r="37" spans="1:3">
      <c r="A37" s="10" t="s">
        <v>124</v>
      </c>
      <c r="B37" t="s">
        <v>125</v>
      </c>
      <c r="C37" t="s">
        <v>201</v>
      </c>
    </row>
    <row r="38" spans="1:3">
      <c r="A38" s="10" t="s">
        <v>126</v>
      </c>
      <c r="B38" t="s">
        <v>127</v>
      </c>
      <c r="C38" t="s">
        <v>201</v>
      </c>
    </row>
    <row r="39" spans="1:3">
      <c r="A39" s="10" t="s">
        <v>128</v>
      </c>
      <c r="B39" t="s">
        <v>129</v>
      </c>
      <c r="C39" t="s">
        <v>201</v>
      </c>
    </row>
    <row r="40" spans="1:3">
      <c r="A40" s="10" t="s">
        <v>130</v>
      </c>
      <c r="B40" t="s">
        <v>131</v>
      </c>
      <c r="C40" t="s">
        <v>201</v>
      </c>
    </row>
    <row r="41" spans="1:3">
      <c r="A41" s="10" t="s">
        <v>31</v>
      </c>
      <c r="B41" t="s">
        <v>132</v>
      </c>
      <c r="C41" t="s">
        <v>201</v>
      </c>
    </row>
    <row r="42" spans="1:3">
      <c r="A42" s="10" t="s">
        <v>133</v>
      </c>
      <c r="B42" t="s">
        <v>134</v>
      </c>
      <c r="C42" t="s">
        <v>201</v>
      </c>
    </row>
    <row r="43" spans="1:3">
      <c r="A43" s="10" t="s">
        <v>135</v>
      </c>
      <c r="B43" t="s">
        <v>136</v>
      </c>
      <c r="C43" t="s">
        <v>201</v>
      </c>
    </row>
    <row r="44" spans="1:3">
      <c r="A44" s="10" t="s">
        <v>137</v>
      </c>
      <c r="B44" t="s">
        <v>138</v>
      </c>
      <c r="C44" t="s">
        <v>201</v>
      </c>
    </row>
    <row r="45" spans="1:3">
      <c r="A45" s="10" t="s">
        <v>139</v>
      </c>
      <c r="B45" t="s">
        <v>140</v>
      </c>
      <c r="C45" t="s">
        <v>201</v>
      </c>
    </row>
    <row r="46" spans="1:3">
      <c r="A46" s="10" t="s">
        <v>32</v>
      </c>
      <c r="B46" t="s">
        <v>141</v>
      </c>
      <c r="C46" t="s">
        <v>201</v>
      </c>
    </row>
    <row r="47" spans="1:3">
      <c r="A47" s="10" t="s">
        <v>142</v>
      </c>
      <c r="B47" t="s">
        <v>143</v>
      </c>
      <c r="C47" t="s">
        <v>201</v>
      </c>
    </row>
    <row r="48" spans="1:3">
      <c r="A48" s="10" t="s">
        <v>144</v>
      </c>
      <c r="B48" t="s">
        <v>145</v>
      </c>
      <c r="C48" t="s">
        <v>201</v>
      </c>
    </row>
    <row r="49" spans="1:3">
      <c r="A49" s="10" t="s">
        <v>146</v>
      </c>
      <c r="B49" t="s">
        <v>147</v>
      </c>
      <c r="C49" t="s">
        <v>201</v>
      </c>
    </row>
    <row r="50" spans="1:3">
      <c r="A50" s="10" t="s">
        <v>148</v>
      </c>
      <c r="B50" t="s">
        <v>149</v>
      </c>
      <c r="C50" t="s">
        <v>201</v>
      </c>
    </row>
    <row r="51" spans="1:3">
      <c r="A51" s="10" t="s">
        <v>150</v>
      </c>
      <c r="B51" t="s">
        <v>151</v>
      </c>
      <c r="C51" t="s">
        <v>201</v>
      </c>
    </row>
    <row r="52" spans="1:3">
      <c r="A52" s="10" t="s">
        <v>152</v>
      </c>
      <c r="B52" t="s">
        <v>153</v>
      </c>
      <c r="C52" t="s">
        <v>201</v>
      </c>
    </row>
    <row r="53" spans="1:3">
      <c r="A53" s="10" t="s">
        <v>154</v>
      </c>
      <c r="B53" t="s">
        <v>155</v>
      </c>
      <c r="C53" t="s">
        <v>201</v>
      </c>
    </row>
    <row r="54" spans="1:3">
      <c r="A54" s="10" t="s">
        <v>156</v>
      </c>
      <c r="B54" t="s">
        <v>157</v>
      </c>
      <c r="C54" t="s">
        <v>201</v>
      </c>
    </row>
    <row r="55" spans="1:3">
      <c r="A55" s="10" t="s">
        <v>158</v>
      </c>
      <c r="B55" t="s">
        <v>159</v>
      </c>
      <c r="C55" t="s">
        <v>201</v>
      </c>
    </row>
    <row r="56" spans="1:3">
      <c r="A56" s="10" t="s">
        <v>160</v>
      </c>
      <c r="B56" t="s">
        <v>161</v>
      </c>
      <c r="C56" t="s">
        <v>201</v>
      </c>
    </row>
    <row r="57" spans="1:3">
      <c r="A57" s="10" t="s">
        <v>162</v>
      </c>
      <c r="B57" t="s">
        <v>163</v>
      </c>
      <c r="C57" t="s">
        <v>201</v>
      </c>
    </row>
    <row r="58" spans="1:3">
      <c r="A58" s="10" t="s">
        <v>164</v>
      </c>
      <c r="B58" t="s">
        <v>165</v>
      </c>
      <c r="C58" t="s">
        <v>201</v>
      </c>
    </row>
    <row r="59" spans="1:3">
      <c r="A59" s="10" t="s">
        <v>166</v>
      </c>
      <c r="B59" t="s">
        <v>167</v>
      </c>
      <c r="C59" t="s">
        <v>201</v>
      </c>
    </row>
    <row r="60" spans="1:3">
      <c r="A60" s="10" t="s">
        <v>168</v>
      </c>
      <c r="B60" t="s">
        <v>169</v>
      </c>
      <c r="C60" t="s">
        <v>201</v>
      </c>
    </row>
    <row r="61" spans="1:3">
      <c r="A61" s="10" t="s">
        <v>40</v>
      </c>
      <c r="B61" t="s">
        <v>170</v>
      </c>
      <c r="C61" t="s">
        <v>202</v>
      </c>
    </row>
    <row r="62" spans="1:3">
      <c r="A62" s="10" t="s">
        <v>33</v>
      </c>
      <c r="B62" t="s">
        <v>171</v>
      </c>
      <c r="C62" t="s">
        <v>34</v>
      </c>
    </row>
    <row r="65" s="1" customFormat="1"/>
    <row r="66" s="2" customFormat="1"/>
  </sheetData>
  <hyperlinks>
    <hyperlink ref="G1" r:id="rId1" xr:uid="{37E4E817-21C4-4B23-92B0-FF1A2ACBD387}"/>
    <hyperlink ref="B1" r:id="rId2" xr:uid="{6D18835C-E4E0-4A4C-BE14-AC6E80B4CEF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zero-variate data</vt:lpstr>
      <vt:lpstr>uni-variate data</vt:lpstr>
      <vt:lpstr>discussion points</vt:lpstr>
      <vt:lpstr>bibkeys</vt:lpstr>
      <vt:lpstr>syntax_variables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Mangold-Doering, Annika</dc:creator>
  <cp:lastModifiedBy>Bas Kooijman</cp:lastModifiedBy>
  <dcterms:created xsi:type="dcterms:W3CDTF">2015-06-05T18:17:20Z</dcterms:created>
  <dcterms:modified xsi:type="dcterms:W3CDTF">2022-03-10T11:47:00Z</dcterms:modified>
</cp:coreProperties>
</file>